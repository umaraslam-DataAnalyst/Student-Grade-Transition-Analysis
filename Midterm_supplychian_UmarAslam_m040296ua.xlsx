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LITEBOOK 840-G8\Documents\Semester 3\Supply_chian\"/>
    </mc:Choice>
  </mc:AlternateContent>
  <xr:revisionPtr revIDLastSave="0" documentId="13_ncr:1_{8E93B4C1-3151-4C34-8AAB-D32014D5188C}" xr6:coauthVersionLast="47" xr6:coauthVersionMax="47" xr10:uidLastSave="{00000000-0000-0000-0000-000000000000}"/>
  <bookViews>
    <workbookView xWindow="-110" yWindow="-110" windowWidth="19420" windowHeight="10300" tabRatio="500" firstSheet="7" activeTab="9" xr2:uid="{00000000-000D-0000-FFFF-FFFF00000000}"/>
  </bookViews>
  <sheets>
    <sheet name="Key Insights" sheetId="1" r:id="rId1"/>
    <sheet name="Raw Data" sheetId="2" r:id="rId2"/>
    <sheet name="Group Analysis" sheetId="3" r:id="rId3"/>
    <sheet name="Top &amp; Bottom" sheetId="4" r:id="rId4"/>
    <sheet name="Chart Data" sheetId="5" r:id="rId5"/>
    <sheet name="Term vs Class Test" sheetId="6" r:id="rId6"/>
    <sheet name="Subject Performance" sheetId="7" r:id="rId7"/>
    <sheet name="Teacher Analysis" sheetId="8" r:id="rId8"/>
    <sheet name="Transition Matrix" sheetId="9" r:id="rId9"/>
    <sheet name="Prediction of Final Term " sheetId="12" r:id="rId10"/>
  </sheets>
  <externalReferences>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6" i="12" l="1"/>
  <c r="H5" i="12"/>
  <c r="H4" i="12"/>
  <c r="H3" i="12"/>
  <c r="H2" i="12"/>
  <c r="G6" i="12"/>
  <c r="G5" i="12"/>
  <c r="G4" i="12"/>
  <c r="G3" i="12"/>
  <c r="G2" i="12"/>
  <c r="T1" i="12" l="1"/>
  <c r="F83" i="9"/>
  <c r="F82" i="9"/>
  <c r="F81" i="9"/>
  <c r="F80" i="9"/>
  <c r="F79" i="9"/>
  <c r="F78" i="9"/>
  <c r="F77" i="9"/>
  <c r="G10" i="9"/>
  <c r="G20" i="9" s="1"/>
  <c r="F10" i="9"/>
  <c r="E10" i="9"/>
  <c r="D10" i="9"/>
  <c r="C10" i="9"/>
  <c r="H10" i="9" s="1"/>
  <c r="G9" i="9"/>
  <c r="F9" i="9"/>
  <c r="E9" i="9"/>
  <c r="E19" i="9" s="1"/>
  <c r="D9" i="9"/>
  <c r="D19" i="9" s="1"/>
  <c r="C9" i="9"/>
  <c r="H9" i="9" s="1"/>
  <c r="H8" i="9"/>
  <c r="E18" i="9" s="1"/>
  <c r="G8" i="9"/>
  <c r="G18" i="9" s="1"/>
  <c r="F8" i="9"/>
  <c r="F18" i="9" s="1"/>
  <c r="E8" i="9"/>
  <c r="D8" i="9"/>
  <c r="C8" i="9"/>
  <c r="C18" i="9" s="1"/>
  <c r="G7" i="9"/>
  <c r="G11" i="9" s="1"/>
  <c r="F7" i="9"/>
  <c r="F11" i="9" s="1"/>
  <c r="E7" i="9"/>
  <c r="D7" i="9"/>
  <c r="C7" i="9"/>
  <c r="H7" i="9" s="1"/>
  <c r="C17" i="9" s="1"/>
  <c r="G6" i="9"/>
  <c r="F6" i="9"/>
  <c r="E6" i="9"/>
  <c r="E11" i="9" s="1"/>
  <c r="D6" i="9"/>
  <c r="D11" i="9" s="1"/>
  <c r="C6" i="9"/>
  <c r="C11" i="9" s="1"/>
  <c r="D29" i="8"/>
  <c r="D28" i="8"/>
  <c r="D27" i="8"/>
  <c r="D26" i="8"/>
  <c r="D25" i="8"/>
  <c r="D24" i="8"/>
  <c r="D23" i="8"/>
  <c r="D22" i="8"/>
  <c r="I17" i="8"/>
  <c r="I16" i="8"/>
  <c r="I15" i="8"/>
  <c r="I14" i="8"/>
  <c r="I13" i="8"/>
  <c r="I12" i="8"/>
  <c r="I11" i="8"/>
  <c r="I10" i="8"/>
  <c r="I9" i="8"/>
  <c r="I8" i="8"/>
  <c r="I7" i="8"/>
  <c r="I6" i="8"/>
  <c r="I5" i="8"/>
  <c r="E23" i="7"/>
  <c r="E22" i="7"/>
  <c r="E21" i="7"/>
  <c r="E20" i="7"/>
  <c r="E19" i="7"/>
  <c r="E18" i="7"/>
  <c r="E14" i="7"/>
  <c r="G14" i="7" s="1"/>
  <c r="E13" i="7"/>
  <c r="G13" i="7" s="1"/>
  <c r="G12" i="7"/>
  <c r="E12" i="7"/>
  <c r="G11" i="7"/>
  <c r="E11" i="7"/>
  <c r="E10" i="7"/>
  <c r="G10" i="7" s="1"/>
  <c r="E9" i="7"/>
  <c r="G9" i="7" s="1"/>
  <c r="G8" i="7"/>
  <c r="E8" i="7"/>
  <c r="G7" i="7"/>
  <c r="E7" i="7"/>
  <c r="E6" i="7"/>
  <c r="G6" i="7" s="1"/>
  <c r="E5" i="7"/>
  <c r="G5" i="7" s="1"/>
  <c r="E66" i="6"/>
  <c r="E65" i="6"/>
  <c r="E64" i="6"/>
  <c r="E63" i="6"/>
  <c r="E58" i="6"/>
  <c r="E57" i="6"/>
  <c r="F52" i="6"/>
  <c r="D52" i="6"/>
  <c r="F51" i="6"/>
  <c r="D51" i="6"/>
  <c r="F50" i="6"/>
  <c r="D50" i="6"/>
  <c r="F49" i="6"/>
  <c r="D49" i="6"/>
  <c r="F48" i="6"/>
  <c r="D48" i="6"/>
  <c r="F47" i="6"/>
  <c r="D47" i="6"/>
  <c r="F46" i="6"/>
  <c r="D46" i="6"/>
  <c r="F45" i="6"/>
  <c r="D45" i="6"/>
  <c r="F44" i="6"/>
  <c r="D44" i="6"/>
  <c r="F43" i="6"/>
  <c r="D43" i="6"/>
  <c r="F42" i="6"/>
  <c r="D42" i="6"/>
  <c r="F41" i="6"/>
  <c r="D41" i="6"/>
  <c r="F40" i="6"/>
  <c r="D40" i="6"/>
  <c r="F39" i="6"/>
  <c r="D39" i="6"/>
  <c r="F38" i="6"/>
  <c r="D38" i="6"/>
  <c r="F37" i="6"/>
  <c r="D37" i="6"/>
  <c r="F36" i="6"/>
  <c r="D36" i="6"/>
  <c r="F35" i="6"/>
  <c r="D35" i="6"/>
  <c r="F34" i="6"/>
  <c r="D34" i="6"/>
  <c r="F33" i="6"/>
  <c r="D33" i="6"/>
  <c r="F32" i="6"/>
  <c r="D32" i="6"/>
  <c r="F31" i="6"/>
  <c r="D31" i="6"/>
  <c r="F30" i="6"/>
  <c r="D30" i="6"/>
  <c r="F29" i="6"/>
  <c r="D29" i="6"/>
  <c r="F28" i="6"/>
  <c r="D28" i="6"/>
  <c r="F27" i="6"/>
  <c r="D27" i="6"/>
  <c r="F26" i="6"/>
  <c r="D26" i="6"/>
  <c r="F25" i="6"/>
  <c r="D25" i="6"/>
  <c r="F24" i="6"/>
  <c r="D24" i="6"/>
  <c r="F23" i="6"/>
  <c r="D23" i="6"/>
  <c r="F22" i="6"/>
  <c r="D22" i="6"/>
  <c r="F21" i="6"/>
  <c r="D21" i="6"/>
  <c r="F20" i="6"/>
  <c r="D20" i="6"/>
  <c r="F19" i="6"/>
  <c r="D19" i="6"/>
  <c r="F18" i="6"/>
  <c r="D18" i="6"/>
  <c r="F17" i="6"/>
  <c r="D17" i="6"/>
  <c r="F16" i="6"/>
  <c r="D16" i="6"/>
  <c r="F15" i="6"/>
  <c r="D15" i="6"/>
  <c r="F14" i="6"/>
  <c r="D14" i="6"/>
  <c r="F13" i="6"/>
  <c r="D13" i="6"/>
  <c r="F12" i="6"/>
  <c r="D12" i="6"/>
  <c r="F11" i="6"/>
  <c r="D11" i="6"/>
  <c r="F10" i="6"/>
  <c r="D10" i="6"/>
  <c r="F9" i="6"/>
  <c r="D9" i="6"/>
  <c r="F8" i="6"/>
  <c r="D8" i="6"/>
  <c r="F7" i="6"/>
  <c r="D7" i="6"/>
  <c r="F6" i="6"/>
  <c r="D6" i="6"/>
  <c r="E60" i="6" s="1"/>
  <c r="F5" i="6"/>
  <c r="D5" i="6"/>
  <c r="E5" i="5"/>
  <c r="C5" i="5"/>
  <c r="D4" i="5"/>
  <c r="E3" i="5"/>
  <c r="C3" i="5"/>
  <c r="E31" i="4"/>
  <c r="E30" i="4"/>
  <c r="E29" i="4"/>
  <c r="G27" i="4"/>
  <c r="G26" i="4"/>
  <c r="G25" i="4"/>
  <c r="G24" i="4"/>
  <c r="G23" i="4"/>
  <c r="G22" i="4"/>
  <c r="G21" i="4"/>
  <c r="G20" i="4"/>
  <c r="G19" i="4"/>
  <c r="G18" i="4"/>
  <c r="G14" i="4"/>
  <c r="G13" i="4"/>
  <c r="G12" i="4"/>
  <c r="G11" i="4"/>
  <c r="G10" i="4"/>
  <c r="G9" i="4"/>
  <c r="G8" i="4"/>
  <c r="G7" i="4"/>
  <c r="G6" i="4"/>
  <c r="G5" i="4"/>
  <c r="E33" i="3"/>
  <c r="E32" i="3"/>
  <c r="E31" i="3"/>
  <c r="E30" i="3"/>
  <c r="E29" i="3"/>
  <c r="E28" i="3"/>
  <c r="E27" i="3"/>
  <c r="E26" i="3"/>
  <c r="E25" i="3"/>
  <c r="E24" i="3"/>
  <c r="E23" i="3"/>
  <c r="F18" i="3"/>
  <c r="F17" i="3"/>
  <c r="F16" i="3"/>
  <c r="F15" i="3"/>
  <c r="F14" i="3"/>
  <c r="F13" i="3"/>
  <c r="F12" i="3"/>
  <c r="F11" i="3"/>
  <c r="G7" i="3"/>
  <c r="D7" i="3"/>
  <c r="G6" i="3"/>
  <c r="E6" i="3"/>
  <c r="B6" i="3"/>
  <c r="E5" i="3"/>
  <c r="C5" i="3"/>
  <c r="I51" i="2"/>
  <c r="H51" i="2"/>
  <c r="G51" i="2"/>
  <c r="F51" i="2"/>
  <c r="I50" i="2"/>
  <c r="H50" i="2"/>
  <c r="G50" i="2"/>
  <c r="F50" i="2"/>
  <c r="I49" i="2"/>
  <c r="H49" i="2"/>
  <c r="G49" i="2"/>
  <c r="F49" i="2"/>
  <c r="I48" i="2"/>
  <c r="H48" i="2"/>
  <c r="G48" i="2"/>
  <c r="F48" i="2"/>
  <c r="I47" i="2"/>
  <c r="H47" i="2"/>
  <c r="G47" i="2"/>
  <c r="F47" i="2"/>
  <c r="I46" i="2"/>
  <c r="H46" i="2"/>
  <c r="G46" i="2"/>
  <c r="F46" i="2"/>
  <c r="I45" i="2"/>
  <c r="H45" i="2"/>
  <c r="G45" i="2"/>
  <c r="F45" i="2"/>
  <c r="I44" i="2"/>
  <c r="H44" i="2"/>
  <c r="G44" i="2"/>
  <c r="F44" i="2"/>
  <c r="I43" i="2"/>
  <c r="H43" i="2"/>
  <c r="G43" i="2"/>
  <c r="F43" i="2"/>
  <c r="I42" i="2"/>
  <c r="H42" i="2"/>
  <c r="G42" i="2"/>
  <c r="F42" i="2"/>
  <c r="I41" i="2"/>
  <c r="H41" i="2"/>
  <c r="G41" i="2"/>
  <c r="F41" i="2"/>
  <c r="I40" i="2"/>
  <c r="H40" i="2"/>
  <c r="G40" i="2"/>
  <c r="F40" i="2"/>
  <c r="I39" i="2"/>
  <c r="H39" i="2"/>
  <c r="G39" i="2"/>
  <c r="F39" i="2"/>
  <c r="I38" i="2"/>
  <c r="H38" i="2"/>
  <c r="G38" i="2"/>
  <c r="F38" i="2"/>
  <c r="I37" i="2"/>
  <c r="H37" i="2"/>
  <c r="G37" i="2"/>
  <c r="F37" i="2"/>
  <c r="I36" i="2"/>
  <c r="H36" i="2"/>
  <c r="G36" i="2"/>
  <c r="F36" i="2"/>
  <c r="I35" i="2"/>
  <c r="H35" i="2"/>
  <c r="G35" i="2"/>
  <c r="F35" i="2"/>
  <c r="I34" i="2"/>
  <c r="H34" i="2"/>
  <c r="G34" i="2"/>
  <c r="F34" i="2"/>
  <c r="I33" i="2"/>
  <c r="H33" i="2"/>
  <c r="G33" i="2"/>
  <c r="F33" i="2"/>
  <c r="I32" i="2"/>
  <c r="H32" i="2"/>
  <c r="G32" i="2"/>
  <c r="F32" i="2"/>
  <c r="I31" i="2"/>
  <c r="H31" i="2"/>
  <c r="G31" i="2"/>
  <c r="F31" i="2"/>
  <c r="I30" i="2"/>
  <c r="H30" i="2"/>
  <c r="G30" i="2"/>
  <c r="F30" i="2"/>
  <c r="I29" i="2"/>
  <c r="H29" i="2"/>
  <c r="G29" i="2"/>
  <c r="F29" i="2"/>
  <c r="I28" i="2"/>
  <c r="H28" i="2"/>
  <c r="G28" i="2"/>
  <c r="F28" i="2"/>
  <c r="I27" i="2"/>
  <c r="H27" i="2"/>
  <c r="G27" i="2"/>
  <c r="F27" i="2"/>
  <c r="I26" i="2"/>
  <c r="H26" i="2"/>
  <c r="G26" i="2"/>
  <c r="F26" i="2"/>
  <c r="I25" i="2"/>
  <c r="H25" i="2"/>
  <c r="G25" i="2"/>
  <c r="F25" i="2"/>
  <c r="I24" i="2"/>
  <c r="H24" i="2"/>
  <c r="G24" i="2"/>
  <c r="F24" i="2"/>
  <c r="I23" i="2"/>
  <c r="H23" i="2"/>
  <c r="G23" i="2"/>
  <c r="F23" i="2"/>
  <c r="I22" i="2"/>
  <c r="H22" i="2"/>
  <c r="G22" i="2"/>
  <c r="F22" i="2"/>
  <c r="I21" i="2"/>
  <c r="H21" i="2"/>
  <c r="G21" i="2"/>
  <c r="F21" i="2"/>
  <c r="I20" i="2"/>
  <c r="H20" i="2"/>
  <c r="G20" i="2"/>
  <c r="F20" i="2"/>
  <c r="I19" i="2"/>
  <c r="H19" i="2"/>
  <c r="G19" i="2"/>
  <c r="F19" i="2"/>
  <c r="I18" i="2"/>
  <c r="H18" i="2"/>
  <c r="G18" i="2"/>
  <c r="F18" i="2"/>
  <c r="I17" i="2"/>
  <c r="H17" i="2"/>
  <c r="G17" i="2"/>
  <c r="F17" i="2"/>
  <c r="I16" i="2"/>
  <c r="H16" i="2"/>
  <c r="G16" i="2"/>
  <c r="F16" i="2"/>
  <c r="I15" i="2"/>
  <c r="H15" i="2"/>
  <c r="G15" i="2"/>
  <c r="F15" i="2"/>
  <c r="I14" i="2"/>
  <c r="H14" i="2"/>
  <c r="G14" i="2"/>
  <c r="F14" i="2"/>
  <c r="I13" i="2"/>
  <c r="H13" i="2"/>
  <c r="G13" i="2"/>
  <c r="F13" i="2"/>
  <c r="I12" i="2"/>
  <c r="H12" i="2"/>
  <c r="G12" i="2"/>
  <c r="F12" i="2"/>
  <c r="I11" i="2"/>
  <c r="H11" i="2"/>
  <c r="G11" i="2"/>
  <c r="F11" i="2"/>
  <c r="I10" i="2"/>
  <c r="H10" i="2"/>
  <c r="G10" i="2"/>
  <c r="F10" i="2"/>
  <c r="I9" i="2"/>
  <c r="H9" i="2"/>
  <c r="G9" i="2"/>
  <c r="F9" i="2"/>
  <c r="I8" i="2"/>
  <c r="H8" i="2"/>
  <c r="G8" i="2"/>
  <c r="F8" i="2"/>
  <c r="I7" i="2"/>
  <c r="H7" i="2"/>
  <c r="G7" i="2"/>
  <c r="F7" i="2"/>
  <c r="F7" i="3" s="1"/>
  <c r="I6" i="2"/>
  <c r="H6" i="2"/>
  <c r="G6" i="2"/>
  <c r="F6" i="2"/>
  <c r="F6" i="3" s="1"/>
  <c r="I5" i="2"/>
  <c r="H5" i="2"/>
  <c r="G5" i="2"/>
  <c r="F5" i="2"/>
  <c r="G5" i="3" s="1"/>
  <c r="I4" i="2"/>
  <c r="H4" i="2"/>
  <c r="G4" i="2"/>
  <c r="C10" i="1" s="1"/>
  <c r="F4" i="2"/>
  <c r="I3" i="2"/>
  <c r="H3" i="2"/>
  <c r="D19" i="3" s="1"/>
  <c r="G3" i="2"/>
  <c r="E33" i="4" s="1"/>
  <c r="F3" i="2"/>
  <c r="C4" i="5" s="1"/>
  <c r="C6" i="1"/>
  <c r="C4" i="1"/>
  <c r="D17" i="9" l="1"/>
  <c r="H17" i="9" s="1"/>
  <c r="D20" i="9"/>
  <c r="E17" i="9"/>
  <c r="E20" i="9"/>
  <c r="G19" i="9"/>
  <c r="F19" i="9"/>
  <c r="F20" i="9"/>
  <c r="E59" i="6"/>
  <c r="C6" i="3"/>
  <c r="E7" i="3"/>
  <c r="E4" i="5"/>
  <c r="C16" i="9"/>
  <c r="C20" i="9"/>
  <c r="E32" i="4"/>
  <c r="B5" i="3"/>
  <c r="D6" i="3"/>
  <c r="B3" i="5"/>
  <c r="B5" i="5"/>
  <c r="H6" i="9"/>
  <c r="D16" i="9"/>
  <c r="F17" i="9"/>
  <c r="G17" i="9"/>
  <c r="C19" i="9"/>
  <c r="H19" i="9" s="1"/>
  <c r="C8" i="1"/>
  <c r="D5" i="3"/>
  <c r="B19" i="3"/>
  <c r="D3" i="5"/>
  <c r="D5" i="5"/>
  <c r="F5" i="3"/>
  <c r="B7" i="3"/>
  <c r="B4" i="5"/>
  <c r="D18" i="9"/>
  <c r="H18" i="9" s="1"/>
  <c r="C7" i="3"/>
  <c r="F84" i="9" l="1"/>
  <c r="H11" i="9"/>
  <c r="G16" i="9"/>
  <c r="E16" i="9"/>
  <c r="H16" i="9" s="1"/>
  <c r="F16" i="9"/>
  <c r="H20" i="9"/>
</calcChain>
</file>

<file path=xl/sharedStrings.xml><?xml version="1.0" encoding="utf-8"?>
<sst xmlns="http://schemas.openxmlformats.org/spreadsheetml/2006/main" count="1347" uniqueCount="244">
  <si>
    <t>KEY INSIGHTS – Attendance vs Performance Analysis</t>
  </si>
  <si>
    <t>INSIGHT 1</t>
  </si>
  <si>
    <t>Positive Correlation Confirmed</t>
  </si>
  <si>
    <t>INSIGHT 2</t>
  </si>
  <si>
    <t>Grade A Students</t>
  </si>
  <si>
    <t>INSIGHT 3</t>
  </si>
  <si>
    <t>At-Risk Count</t>
  </si>
  <si>
    <t>INSIGHT 4</t>
  </si>
  <si>
    <t>Grade F Warning</t>
  </si>
  <si>
    <t>AHA MOMENT</t>
  </si>
  <si>
    <t>Outliers Tell a Deeper Story</t>
  </si>
  <si>
    <t>Some students with high attendance still scored Grade D or F — proving attendance alone is not enough. Active engagement and study habits matter equally. Students flagged 'High Att / Low Perf' need pedagogical review.</t>
  </si>
  <si>
    <t>REGRESSION</t>
  </si>
  <si>
    <t>CT predicts Term (r=0.749, R²=0.56)</t>
  </si>
  <si>
    <t>Equation: Term % = 23.33 + 0.633 × CT%.  For every 1% rise in CT score, Term rises 0.633%. CT explains 56% of Term variance. 44% depends on other factors.</t>
  </si>
  <si>
    <t>TRANSITION</t>
  </si>
  <si>
    <t>Grade Stability (CT→Term)</t>
  </si>
  <si>
    <t>The Transition Matrix shows how many students maintained, improved, or dropped their grade band from Class Test to Term Exam. A high diagonal probability means CT grades reliably predict Term grades.</t>
  </si>
  <si>
    <t>The Aster School – Mid Term 2025-26 | Student Performance Dataset</t>
  </si>
  <si>
    <t>Student Name</t>
  </si>
  <si>
    <t>Grade</t>
  </si>
  <si>
    <t>Attendance %</t>
  </si>
  <si>
    <t>Math %</t>
  </si>
  <si>
    <t>Overall %</t>
  </si>
  <si>
    <t>Attendance Group</t>
  </si>
  <si>
    <t>At-Risk</t>
  </si>
  <si>
    <t>Outlier Flag</t>
  </si>
  <si>
    <t>Abdullah Ayaz</t>
  </si>
  <si>
    <t>7</t>
  </si>
  <si>
    <t>Omer Razi</t>
  </si>
  <si>
    <t>Muqaddas Jamal</t>
  </si>
  <si>
    <t>Hamnah Shafi</t>
  </si>
  <si>
    <t>Zeenia Zohaib</t>
  </si>
  <si>
    <t>Umer Adil</t>
  </si>
  <si>
    <t>Inayah Sabahat</t>
  </si>
  <si>
    <t>Ayaan Amin</t>
  </si>
  <si>
    <t>Muhammad Umer</t>
  </si>
  <si>
    <t>Hamza Naveed</t>
  </si>
  <si>
    <t>Omar Borra</t>
  </si>
  <si>
    <t>Umer Imran</t>
  </si>
  <si>
    <t>Ayaan Ashraf Ali</t>
  </si>
  <si>
    <t>Mohsyn Hassan</t>
  </si>
  <si>
    <t>Abdul Razzaq</t>
  </si>
  <si>
    <t>Ayan Umar</t>
  </si>
  <si>
    <t>Mahad Sajid</t>
  </si>
  <si>
    <t>8</t>
  </si>
  <si>
    <t>Fatima Abdul Qadir</t>
  </si>
  <si>
    <t>Syed Muzzammil Hassan</t>
  </si>
  <si>
    <t>Mirha Farhan</t>
  </si>
  <si>
    <t>Abeeha Ali Khan</t>
  </si>
  <si>
    <t>Muhammad Hussain Yawar</t>
  </si>
  <si>
    <t>Muhammad Yahya</t>
  </si>
  <si>
    <t>Alishba Haider</t>
  </si>
  <si>
    <t>Ali Hasan</t>
  </si>
  <si>
    <t>Amna Awais</t>
  </si>
  <si>
    <t>Ayesha Awais</t>
  </si>
  <si>
    <t>Mahum Rehman</t>
  </si>
  <si>
    <t>Muhammad (G8)</t>
  </si>
  <si>
    <t>Muhammad Ahmed</t>
  </si>
  <si>
    <t>Muhammad Ahmed Ahsan</t>
  </si>
  <si>
    <t>6</t>
  </si>
  <si>
    <t>Zainab Shoaib</t>
  </si>
  <si>
    <t>Muhammad Ayaan</t>
  </si>
  <si>
    <t>Aahid Manzoor</t>
  </si>
  <si>
    <t>Rohaan Talha</t>
  </si>
  <si>
    <t>Eeshal Amin</t>
  </si>
  <si>
    <t>Muhammad Sarhan Safder</t>
  </si>
  <si>
    <t>Mohammad Omar Abid</t>
  </si>
  <si>
    <t>Syed Huzaifa Quadri</t>
  </si>
  <si>
    <t>Zoraiz Jameel</t>
  </si>
  <si>
    <t>Anaya Rameez</t>
  </si>
  <si>
    <t>Anaya Hammad</t>
  </si>
  <si>
    <t>Raayan Ibrahim</t>
  </si>
  <si>
    <t>Jannah Saqib</t>
  </si>
  <si>
    <t>Aysel Hammad</t>
  </si>
  <si>
    <t>Muhammad Hussain Raza</t>
  </si>
  <si>
    <t>Umaiza Omer</t>
  </si>
  <si>
    <t>Alisha Arif</t>
  </si>
  <si>
    <t>Muhammad Sohan Ashiq</t>
  </si>
  <si>
    <t>Attendance Group Analysis – Performance Comparison</t>
  </si>
  <si>
    <t>SECTION A – GROUP SUMMARY TABLE</t>
  </si>
  <si>
    <t># Students</t>
  </si>
  <si>
    <t>Avg Attendance %</t>
  </si>
  <si>
    <t>Avg Math %</t>
  </si>
  <si>
    <t>Avg Overall %</t>
  </si>
  <si>
    <t>Highest Overall</t>
  </si>
  <si>
    <t>Lowest Overall</t>
  </si>
  <si>
    <t>High (90-100%)</t>
  </si>
  <si>
    <t>Medium (75-89%)</t>
  </si>
  <si>
    <t>Low (&lt;75%)</t>
  </si>
  <si>
    <t>SECTION B – AT-RISK STUDENTS</t>
  </si>
  <si>
    <t>Definition: Attendance &lt; 75%  AND  Overall % &lt; 60%</t>
  </si>
  <si>
    <t>TOTAL AT-RISK</t>
  </si>
  <si>
    <t>TOTAL ACADEMIC RISK</t>
  </si>
  <si>
    <t>SECTION C – OUTLIER STUDENTS</t>
  </si>
  <si>
    <t>Outlier Type</t>
  </si>
  <si>
    <t>High Att / Low Perf</t>
  </si>
  <si>
    <t>Low Att / High Perf</t>
  </si>
  <si>
    <t>Top 10 &amp; Bottom 10 Students by Overall Performance</t>
  </si>
  <si>
    <t>🏆 TOP 10 PERFORMERS</t>
  </si>
  <si>
    <t>Rank</t>
  </si>
  <si>
    <t>⚠ BOTTOM 10 STUDENTS</t>
  </si>
  <si>
    <t>QUICK STATS (formula-driven)</t>
  </si>
  <si>
    <t>Class Average Overall %</t>
  </si>
  <si>
    <t>Highest Overall %</t>
  </si>
  <si>
    <t>Lowest Overall %</t>
  </si>
  <si>
    <t># Students Grade A</t>
  </si>
  <si>
    <t># Students Grade F</t>
  </si>
  <si>
    <t>Chart Source Data – Group Average Performance</t>
  </si>
  <si>
    <t>Scatter Source (Attendance vs Overall %)</t>
  </si>
  <si>
    <t>Term Exam vs Class Test Analysis – with Grade Classification</t>
  </si>
  <si>
    <t>STUDENT-LEVEL: Avg Term % vs Avg CT % with A/B/C/D/F Grades</t>
  </si>
  <si>
    <t>Avg Term %</t>
  </si>
  <si>
    <t>Term Grade</t>
  </si>
  <si>
    <t>Avg CT %</t>
  </si>
  <si>
    <t>CT Grade</t>
  </si>
  <si>
    <t>CT–Term Gap</t>
  </si>
  <si>
    <t>Pattern Flag</t>
  </si>
  <si>
    <t>Consistent</t>
  </si>
  <si>
    <t>Muhammad G8</t>
  </si>
  <si>
    <t>Low CT / High Term</t>
  </si>
  <si>
    <t>Muhammad Ahmed G8</t>
  </si>
  <si>
    <t>Muhammad Ayaan G6</t>
  </si>
  <si>
    <t>SUMMARY STATISTICS – Formula Driven</t>
  </si>
  <si>
    <t>Metric</t>
  </si>
  <si>
    <t>Value</t>
  </si>
  <si>
    <t>Overall Avg Term %</t>
  </si>
  <si>
    <t>Overall Avg CT %</t>
  </si>
  <si>
    <t># Grade A in Term</t>
  </si>
  <si>
    <t># Grade F in Term</t>
  </si>
  <si>
    <t>Pearson r</t>
  </si>
  <si>
    <t>0.749</t>
  </si>
  <si>
    <t>R² (CT explains)</t>
  </si>
  <si>
    <t>0.5606</t>
  </si>
  <si>
    <t>Regression Equation</t>
  </si>
  <si>
    <t>Students Consistent</t>
  </si>
  <si>
    <t>High CT / Low Term</t>
  </si>
  <si>
    <t>Subject Performance Across Grades – Average Term Marks</t>
  </si>
  <si>
    <t>SECTION 1 – Average Term % per Subject (A/B/C/D/F Grade)</t>
  </si>
  <si>
    <t>Subject</t>
  </si>
  <si>
    <t>Grade 6 Avg %</t>
  </si>
  <si>
    <t>Grade 7 Avg %</t>
  </si>
  <si>
    <t>Grade 8 Avg %</t>
  </si>
  <si>
    <t>Overall Avg %</t>
  </si>
  <si>
    <t>Subject Grade</t>
  </si>
  <si>
    <t>English Reading</t>
  </si>
  <si>
    <t>Geography</t>
  </si>
  <si>
    <t>Islamiat</t>
  </si>
  <si>
    <t>History</t>
  </si>
  <si>
    <t>Urdu</t>
  </si>
  <si>
    <t>Mathematics</t>
  </si>
  <si>
    <t>English Lit</t>
  </si>
  <si>
    <t>Science</t>
  </si>
  <si>
    <t>Computer Sci</t>
  </si>
  <si>
    <t>Arabic</t>
  </si>
  <si>
    <t>SECTION 2 – Cross-Grade Variation (Max–Min spread)</t>
  </si>
  <si>
    <t>Grade 6 %</t>
  </si>
  <si>
    <t>Grade 7 %</t>
  </si>
  <si>
    <t>Grade 8 %</t>
  </si>
  <si>
    <t>Variation (Max-Min)</t>
  </si>
  <si>
    <t>Leading Grade</t>
  </si>
  <si>
    <t>Grade 6</t>
  </si>
  <si>
    <t>Grade 7</t>
  </si>
  <si>
    <t>Teacher Performance Analysis – Avg Student Term Marks by Teacher</t>
  </si>
  <si>
    <t>SECTION 1 – Teacher × Subject × Grade: Avg Term % + Grade</t>
  </si>
  <si>
    <t>Teacher</t>
  </si>
  <si>
    <t>Performance Tag</t>
  </si>
  <si>
    <t>Miss Javeria</t>
  </si>
  <si>
    <t>—</t>
  </si>
  <si>
    <t>Strong</t>
  </si>
  <si>
    <t>Miss Farah</t>
  </si>
  <si>
    <t>Average</t>
  </si>
  <si>
    <t>Miss Uzma</t>
  </si>
  <si>
    <t>Miss Ayesha</t>
  </si>
  <si>
    <t>Miss Naureen</t>
  </si>
  <si>
    <t>Sir Umar</t>
  </si>
  <si>
    <t>Miss Raheela</t>
  </si>
  <si>
    <t>Sir Danish</t>
  </si>
  <si>
    <t>Needs Review</t>
  </si>
  <si>
    <t>SECTION 2 – Teacher Overall Summary</t>
  </si>
  <si>
    <t>Subjects Taught</t>
  </si>
  <si>
    <t>Avg % (All)</t>
  </si>
  <si>
    <t>English Lit, English Reading</t>
  </si>
  <si>
    <t>Geography, History, Islamiat</t>
  </si>
  <si>
    <t>English Lit, English Reading, Science</t>
  </si>
  <si>
    <t>TRANSITION MATRIX — Class Test Grade → Term Exam Grade  (A / B / C / D / F)</t>
  </si>
  <si>
    <t>Grade Scale:  A = &gt;80%  |  B = 70–79%  |  C = 60–69%  |  D = 50–59%  |  F = &lt;50%   |   ROW = CT Grade (FROM)   →   COLUMN = Term Grade (TO)</t>
  </si>
  <si>
    <t>MATRIX A — COUNT  (CT Grade → Term Grade, how many students)</t>
  </si>
  <si>
    <t>Student</t>
  </si>
  <si>
    <t>CT %</t>
  </si>
  <si>
    <t>Term %</t>
  </si>
  <si>
    <t>FROM ↓  TO →</t>
  </si>
  <si>
    <t>A</t>
  </si>
  <si>
    <t>B</t>
  </si>
  <si>
    <t>C</t>
  </si>
  <si>
    <t>D</t>
  </si>
  <si>
    <t>F</t>
  </si>
  <si>
    <t>Row Total</t>
  </si>
  <si>
    <t>Col Total</t>
  </si>
  <si>
    <t>MATRIX B — TRANSITION PROBABILITY  (prob of CT Grade → Term Grade)</t>
  </si>
  <si>
    <t>Sum</t>
  </si>
  <si>
    <t>SECTION 3 — STUDENT MOVEMENT  (CT Grade → Term Grade)</t>
  </si>
  <si>
    <t>Movement</t>
  </si>
  <si>
    <t>Declined</t>
  </si>
  <si>
    <t>Same</t>
  </si>
  <si>
    <t>Improved</t>
  </si>
  <si>
    <t>SECTION 4 — TRANSITION SUMMARY STATISTICS</t>
  </si>
  <si>
    <t>Total Students</t>
  </si>
  <si>
    <t>Students Improved</t>
  </si>
  <si>
    <t>Students Same Grade</t>
  </si>
  <si>
    <t>Students Declined</t>
  </si>
  <si>
    <t>% Improved</t>
  </si>
  <si>
    <t>% Same Grade</t>
  </si>
  <si>
    <t>% Declined</t>
  </si>
  <si>
    <t>Most common CT Grade</t>
  </si>
  <si>
    <t>Most common Term Grade</t>
  </si>
  <si>
    <t>HOW TO READ:
Row = student's grade in Class Test (FROM).  Column = grade in Term Exam (TO).
GREEN = improved grade in Term vs CT  |  GREY diagonal = stayed same grade  |  RED = grade dropped in Term.
PROBABILITY MATRIX: Each cell = P(Term Grade | CT Grade).  E.g. if F→F = 80%, students who scored F in CT have an 80% chance of failing the term — urgent intervention needed.
Strong diagonal = CT reliably predicts term result.  Off-diagonal mass = unpredictable transitions.</t>
  </si>
  <si>
    <t>LEGEND:</t>
  </si>
  <si>
    <t>Green = Improved</t>
  </si>
  <si>
    <t>Grey = Same Grade</t>
  </si>
  <si>
    <t>Red = Declined</t>
  </si>
  <si>
    <t>CT2 Grade</t>
  </si>
  <si>
    <t>Grade 8</t>
  </si>
  <si>
    <t>Muqaddas jamal</t>
  </si>
  <si>
    <t>Hafsa Salman</t>
  </si>
  <si>
    <t>CT2 Percentage</t>
  </si>
  <si>
    <t>Abdullah Ahmed</t>
  </si>
  <si>
    <t>Umer imran</t>
  </si>
  <si>
    <t>Muhammad</t>
  </si>
  <si>
    <t>Count</t>
  </si>
  <si>
    <t>%</t>
  </si>
  <si>
    <t>Column1</t>
  </si>
  <si>
    <t>Prediction of Final Term Grades</t>
  </si>
  <si>
    <t>Used transition matrix of midterms to get pridictions of grades in Fina Term</t>
  </si>
  <si>
    <t>A transition matrix was used to predict final term results based on class test performance. Class test grades were converted into percentages and multiplied with the transition matrix using MMULT to estimate the final grade distribution.</t>
  </si>
  <si>
    <t>The output gave the expected percentage of students in each grade for the final term. These percentages were then converted into approximate counts based on a total class size of 51 students.</t>
  </si>
  <si>
    <t>Overall, the model shows how students are expected to move between grade categories and helps predict final exam performance using past assessment trends.</t>
  </si>
  <si>
    <t xml:space="preserve">Final Grade  </t>
  </si>
  <si>
    <t>Predicted Probability</t>
  </si>
  <si>
    <t>Projected Student count</t>
  </si>
  <si>
    <t>Grade2</t>
  </si>
  <si>
    <t>Midterm Count (Actual)</t>
  </si>
  <si>
    <t>Total</t>
  </si>
  <si>
    <t>Final (Predicted)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</si>
</sst>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0" x14ac:knownFonts="1">
    <font>
      <sz val="11"/>
      <color theme="1"/>
      <name val="Calibri"/>
      <family val="2"/>
      <charset val="1"/>
    </font>
    <font>
      <sz val="10"/>
      <name val="Arial"/>
      <family val="2"/>
    </font>
    <font>
      <b/>
      <sz val="14"/>
      <color rgb="FFFFFFFF"/>
      <name val="Arial"/>
      <family val="2"/>
    </font>
    <font>
      <b/>
      <sz val="10"/>
      <color rgb="FFFFFFFF"/>
      <name val="Arial"/>
      <family val="2"/>
    </font>
    <font>
      <b/>
      <sz val="10"/>
      <name val="Arial"/>
      <family val="2"/>
    </font>
    <font>
      <sz val="10"/>
      <color rgb="FF222222"/>
      <name val="Arial"/>
      <family val="2"/>
    </font>
    <font>
      <b/>
      <sz val="13"/>
      <color rgb="FFFFFFFF"/>
      <name val="Arial"/>
      <family val="2"/>
    </font>
    <font>
      <b/>
      <sz val="10"/>
      <color rgb="FF111111"/>
      <name val="Arial"/>
      <family val="2"/>
    </font>
    <font>
      <sz val="10"/>
      <color rgb="FF111111"/>
      <name val="Arial"/>
      <family val="2"/>
    </font>
    <font>
      <b/>
      <sz val="10"/>
      <color rgb="FF1E8449"/>
      <name val="Arial"/>
      <family val="2"/>
    </font>
    <font>
      <b/>
      <sz val="11"/>
      <color rgb="FFFFFFFF"/>
      <name val="Arial"/>
      <family val="2"/>
    </font>
    <font>
      <i/>
      <sz val="10"/>
      <color rgb="FF555555"/>
      <name val="Arial"/>
      <family val="2"/>
    </font>
    <font>
      <b/>
      <sz val="11"/>
      <name val="Arial"/>
      <family val="2"/>
    </font>
    <font>
      <b/>
      <sz val="12"/>
      <color rgb="FFFFFFFF"/>
      <name val="Arial"/>
      <family val="2"/>
    </font>
    <font>
      <b/>
      <sz val="10"/>
      <color rgb="FFBA4A00"/>
      <name val="Arial"/>
      <family val="2"/>
    </font>
    <font>
      <i/>
      <sz val="9"/>
      <color rgb="FF444444"/>
      <name val="Arial"/>
      <family val="2"/>
    </font>
    <font>
      <b/>
      <sz val="9"/>
      <color rgb="FFFFFFFF"/>
      <name val="Arial"/>
      <family val="2"/>
    </font>
    <font>
      <sz val="9"/>
      <color rgb="FF111111"/>
      <name val="Arial"/>
      <family val="2"/>
    </font>
    <font>
      <b/>
      <sz val="12"/>
      <name val="Arial"/>
      <family val="2"/>
    </font>
    <font>
      <b/>
      <sz val="11"/>
      <color rgb="FF1B3A4B"/>
      <name val="Arial"/>
      <family val="2"/>
    </font>
    <font>
      <b/>
      <sz val="9"/>
      <color rgb="FF1B3A4B"/>
      <name val="Arial"/>
      <family val="2"/>
    </font>
    <font>
      <b/>
      <sz val="9"/>
      <color rgb="FF1E8449"/>
      <name val="Arial"/>
      <family val="2"/>
    </font>
    <font>
      <b/>
      <sz val="9"/>
      <color rgb="FF555555"/>
      <name val="Arial"/>
      <family val="2"/>
    </font>
    <font>
      <b/>
      <sz val="9"/>
      <color rgb="FF922B21"/>
      <name val="Arial"/>
      <family val="2"/>
    </font>
    <font>
      <sz val="11"/>
      <color rgb="FF000000"/>
      <name val="Calibri"/>
      <family val="2"/>
    </font>
    <font>
      <b/>
      <sz val="11"/>
      <color theme="1"/>
      <name val="Calibri"/>
      <family val="2"/>
    </font>
    <font>
      <b/>
      <sz val="11"/>
      <color theme="0"/>
      <name val="Calibri"/>
      <family val="2"/>
    </font>
    <font>
      <sz val="11"/>
      <color theme="1"/>
      <name val="Calibri"/>
      <family val="2"/>
    </font>
    <font>
      <sz val="11"/>
      <color rgb="FF1F1F1F"/>
      <name val="Arial"/>
      <family val="2"/>
    </font>
    <font>
      <b/>
      <sz val="11"/>
      <color rgb="FF1F1F1F"/>
      <name val="Arial"/>
      <family val="2"/>
    </font>
  </fonts>
  <fills count="28">
    <fill>
      <patternFill patternType="none"/>
    </fill>
    <fill>
      <patternFill patternType="gray125"/>
    </fill>
    <fill>
      <patternFill patternType="solid">
        <fgColor rgb="FF1B3A4B"/>
        <bgColor rgb="FF222222"/>
      </patternFill>
    </fill>
    <fill>
      <patternFill patternType="solid">
        <fgColor rgb="FF1E8449"/>
        <bgColor rgb="FF008000"/>
      </patternFill>
    </fill>
    <fill>
      <patternFill patternType="solid">
        <fgColor rgb="FFD6EAF8"/>
        <bgColor rgb="FFD5F5E3"/>
      </patternFill>
    </fill>
    <fill>
      <patternFill patternType="solid">
        <fgColor rgb="FFFFFFFF"/>
        <bgColor rgb="FFFEF9E7"/>
      </patternFill>
    </fill>
    <fill>
      <patternFill patternType="solid">
        <fgColor rgb="FF2E86AB"/>
        <bgColor rgb="FF2980B9"/>
      </patternFill>
    </fill>
    <fill>
      <patternFill patternType="solid">
        <fgColor rgb="FF922B21"/>
        <bgColor rgb="FFC0392B"/>
      </patternFill>
    </fill>
    <fill>
      <patternFill patternType="solid">
        <fgColor rgb="FF8B0000"/>
        <bgColor rgb="FF800000"/>
      </patternFill>
    </fill>
    <fill>
      <patternFill patternType="solid">
        <fgColor rgb="FFF0B429"/>
        <bgColor rgb="FFFF9900"/>
      </patternFill>
    </fill>
    <fill>
      <patternFill patternType="solid">
        <fgColor rgb="FF6C3483"/>
        <bgColor rgb="FF555555"/>
      </patternFill>
    </fill>
    <fill>
      <patternFill patternType="solid">
        <fgColor rgb="FF1F618D"/>
        <bgColor rgb="FF1A5276"/>
      </patternFill>
    </fill>
    <fill>
      <patternFill patternType="solid">
        <fgColor rgb="FFF2F3F4"/>
        <bgColor rgb="FFEBF5FB"/>
      </patternFill>
    </fill>
    <fill>
      <patternFill patternType="solid">
        <fgColor rgb="FFE67E22"/>
        <bgColor rgb="FFFF9900"/>
      </patternFill>
    </fill>
    <fill>
      <patternFill patternType="solid">
        <fgColor rgb="FFBA4A00"/>
        <bgColor rgb="FFC0392B"/>
      </patternFill>
    </fill>
    <fill>
      <patternFill patternType="solid">
        <fgColor rgb="FFC0392B"/>
        <bgColor rgb="FFBA4A00"/>
      </patternFill>
    </fill>
    <fill>
      <patternFill patternType="solid">
        <fgColor rgb="FF2980B9"/>
        <bgColor rgb="FF2E86AB"/>
      </patternFill>
    </fill>
    <fill>
      <patternFill patternType="solid">
        <fgColor rgb="FF1A5276"/>
        <bgColor rgb="FF1F618D"/>
      </patternFill>
    </fill>
    <fill>
      <patternFill patternType="solid">
        <fgColor rgb="FFFEF9E7"/>
        <bgColor rgb="FFF2F3F4"/>
      </patternFill>
    </fill>
    <fill>
      <patternFill patternType="solid">
        <fgColor rgb="FFFADBD8"/>
        <bgColor rgb="FFFDEBD0"/>
      </patternFill>
    </fill>
    <fill>
      <patternFill patternType="solid">
        <fgColor rgb="FFFDEBD0"/>
        <bgColor rgb="FFFADBD8"/>
      </patternFill>
    </fill>
    <fill>
      <patternFill patternType="solid">
        <fgColor rgb="FFEBF5FB"/>
        <bgColor rgb="FFF0F8FF"/>
      </patternFill>
    </fill>
    <fill>
      <patternFill patternType="solid">
        <fgColor rgb="FFD5F5E3"/>
        <bgColor rgb="FFD6EAF8"/>
      </patternFill>
    </fill>
    <fill>
      <patternFill patternType="solid">
        <fgColor rgb="FFD5D8DC"/>
        <bgColor rgb="FFCCCCCC"/>
      </patternFill>
    </fill>
    <fill>
      <patternFill patternType="solid">
        <fgColor rgb="FF7F8C8D"/>
        <bgColor rgb="FF969696"/>
      </patternFill>
    </fill>
    <fill>
      <patternFill patternType="solid">
        <fgColor rgb="FFF0F8FF"/>
        <bgColor rgb="FFEBF5FB"/>
      </patternFill>
    </fill>
    <fill>
      <patternFill patternType="solid">
        <fgColor theme="6"/>
        <bgColor indexed="64"/>
      </patternFill>
    </fill>
    <fill>
      <patternFill patternType="solid">
        <fgColor theme="4" tint="0.79998168889431442"/>
        <bgColor indexed="64"/>
      </patternFill>
    </fill>
  </fills>
  <borders count="19">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medium">
        <color rgb="FF2E86AB"/>
      </left>
      <right style="medium">
        <color rgb="FF2E86AB"/>
      </right>
      <top style="medium">
        <color rgb="FF2E86AB"/>
      </top>
      <bottom style="medium">
        <color rgb="FF2E86AB"/>
      </bottom>
      <diagonal/>
    </border>
    <border>
      <left style="thin">
        <color rgb="FFCCCCCC"/>
      </left>
      <right/>
      <top style="thin">
        <color rgb="FFCCCCCC"/>
      </top>
      <bottom/>
      <diagonal/>
    </border>
    <border>
      <left/>
      <right style="thin">
        <color rgb="FFCCCCCC"/>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style="medium">
        <color rgb="FF000000"/>
      </bottom>
      <diagonal/>
    </border>
  </borders>
  <cellStyleXfs count="2">
    <xf numFmtId="0" fontId="0" fillId="0" borderId="0"/>
    <xf numFmtId="9" fontId="1" fillId="0" borderId="0" applyBorder="0" applyAlignment="0" applyProtection="0"/>
  </cellStyleXfs>
  <cellXfs count="144">
    <xf numFmtId="0" fontId="0" fillId="0" borderId="0" xfId="0"/>
    <xf numFmtId="0" fontId="3"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0" fillId="3" borderId="1" xfId="0" applyFill="1" applyBorder="1"/>
    <xf numFmtId="0" fontId="0" fillId="6" borderId="1" xfId="0" applyFill="1" applyBorder="1"/>
    <xf numFmtId="0" fontId="3" fillId="7" borderId="1" xfId="0" applyFont="1" applyFill="1" applyBorder="1" applyAlignment="1">
      <alignment horizontal="center" vertical="center" wrapText="1"/>
    </xf>
    <xf numFmtId="0" fontId="0" fillId="7" borderId="1" xfId="0" applyFill="1" applyBorder="1"/>
    <xf numFmtId="0" fontId="3" fillId="8" borderId="1" xfId="0" applyFont="1" applyFill="1" applyBorder="1" applyAlignment="1">
      <alignment horizontal="center" vertical="center" wrapText="1"/>
    </xf>
    <xf numFmtId="0" fontId="0" fillId="8" borderId="1" xfId="0" applyFill="1" applyBorder="1"/>
    <xf numFmtId="0" fontId="3" fillId="9" borderId="1" xfId="0" applyFont="1" applyFill="1" applyBorder="1" applyAlignment="1">
      <alignment horizontal="center" vertical="center" wrapText="1"/>
    </xf>
    <xf numFmtId="0" fontId="0" fillId="9" borderId="1" xfId="0" applyFill="1" applyBorder="1"/>
    <xf numFmtId="0" fontId="3" fillId="10" borderId="1" xfId="0" applyFont="1" applyFill="1" applyBorder="1" applyAlignment="1">
      <alignment horizontal="center" vertical="center" wrapText="1"/>
    </xf>
    <xf numFmtId="0" fontId="0" fillId="10" borderId="1" xfId="0" applyFill="1" applyBorder="1"/>
    <xf numFmtId="0" fontId="7"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164" fontId="8" fillId="5" borderId="1" xfId="0" applyNumberFormat="1" applyFont="1" applyFill="1" applyBorder="1" applyAlignment="1">
      <alignment horizontal="center" vertical="center" wrapText="1"/>
    </xf>
    <xf numFmtId="0" fontId="8" fillId="19"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8" fillId="21" borderId="1" xfId="0" applyFont="1" applyFill="1" applyBorder="1" applyAlignment="1">
      <alignment horizontal="center" vertical="center" wrapText="1"/>
    </xf>
    <xf numFmtId="0" fontId="8" fillId="22" borderId="1" xfId="0" applyFont="1" applyFill="1" applyBorder="1" applyAlignment="1">
      <alignment horizontal="center" vertical="center" wrapText="1"/>
    </xf>
    <xf numFmtId="0" fontId="7" fillId="22" borderId="1" xfId="0" applyFont="1" applyFill="1" applyBorder="1" applyAlignment="1">
      <alignment horizontal="center" vertical="center" wrapText="1"/>
    </xf>
    <xf numFmtId="0" fontId="7" fillId="19"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164" fontId="8" fillId="12" borderId="1" xfId="0" applyNumberFormat="1"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3" fillId="17"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3" fillId="16"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8" fillId="23" borderId="3" xfId="0" applyFont="1" applyFill="1" applyBorder="1" applyAlignment="1">
      <alignment horizontal="center" vertical="center" wrapText="1"/>
    </xf>
    <xf numFmtId="0" fontId="18" fillId="19" borderId="3"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17" fillId="12" borderId="1" xfId="0" applyFont="1" applyFill="1" applyBorder="1" applyAlignment="1">
      <alignment horizontal="center" vertical="center" wrapText="1"/>
    </xf>
    <xf numFmtId="0" fontId="18" fillId="22" borderId="3"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6" fillId="16"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9" fontId="12" fillId="23" borderId="3" xfId="0" applyNumberFormat="1" applyFont="1" applyFill="1" applyBorder="1" applyAlignment="1">
      <alignment horizontal="center" vertical="center" wrapText="1"/>
    </xf>
    <xf numFmtId="9" fontId="12" fillId="19" borderId="3" xfId="0" applyNumberFormat="1" applyFont="1" applyFill="1" applyBorder="1" applyAlignment="1">
      <alignment horizontal="center" vertical="center" wrapText="1"/>
    </xf>
    <xf numFmtId="9" fontId="12" fillId="22" borderId="3" xfId="0" applyNumberFormat="1" applyFont="1" applyFill="1" applyBorder="1" applyAlignment="1">
      <alignment horizontal="center" vertical="center" wrapText="1"/>
    </xf>
    <xf numFmtId="0" fontId="16" fillId="17"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6" fillId="24"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22" borderId="1" xfId="0" applyFont="1" applyFill="1" applyBorder="1" applyAlignment="1">
      <alignment horizontal="center" vertical="center" wrapText="1"/>
    </xf>
    <xf numFmtId="0" fontId="22" fillId="23"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9" fontId="1" fillId="0" borderId="0" xfId="1"/>
    <xf numFmtId="9" fontId="0" fillId="0" borderId="0" xfId="0" applyNumberFormat="1"/>
    <xf numFmtId="1" fontId="0" fillId="0" borderId="0" xfId="0" applyNumberFormat="1"/>
    <xf numFmtId="0" fontId="24" fillId="0" borderId="0" xfId="0" applyFont="1"/>
    <xf numFmtId="0" fontId="0" fillId="26" borderId="0" xfId="0" applyFill="1"/>
    <xf numFmtId="0" fontId="25" fillId="27" borderId="0" xfId="0" applyFont="1" applyFill="1"/>
    <xf numFmtId="0" fontId="26" fillId="26" borderId="0" xfId="0" applyFont="1" applyFill="1"/>
    <xf numFmtId="0" fontId="27" fillId="0" borderId="0" xfId="0" applyFont="1"/>
    <xf numFmtId="0" fontId="7" fillId="5" borderId="5" xfId="0" applyFont="1" applyFill="1" applyBorder="1" applyAlignment="1">
      <alignment horizontal="center" vertical="center" wrapText="1"/>
    </xf>
    <xf numFmtId="0" fontId="7" fillId="12" borderId="5"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12" borderId="2"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3" fillId="15" borderId="10" xfId="0" applyFont="1" applyFill="1" applyBorder="1" applyAlignment="1">
      <alignment horizontal="center" vertical="center" wrapText="1"/>
    </xf>
    <xf numFmtId="0" fontId="3" fillId="14" borderId="10" xfId="0" applyFont="1" applyFill="1" applyBorder="1" applyAlignment="1">
      <alignment horizontal="center" vertical="center" wrapText="1"/>
    </xf>
    <xf numFmtId="0" fontId="8" fillId="5" borderId="4" xfId="0" applyFont="1" applyFill="1" applyBorder="1" applyAlignment="1">
      <alignment horizontal="center" vertical="center" wrapText="1"/>
    </xf>
    <xf numFmtId="2" fontId="8" fillId="5" borderId="1" xfId="0" applyNumberFormat="1" applyFont="1" applyFill="1" applyBorder="1" applyAlignment="1">
      <alignment horizontal="center" vertical="center" wrapText="1"/>
    </xf>
    <xf numFmtId="2" fontId="3" fillId="6" borderId="7" xfId="0" applyNumberFormat="1" applyFont="1" applyFill="1" applyBorder="1" applyAlignment="1">
      <alignment horizontal="center" vertical="center" wrapText="1"/>
    </xf>
    <xf numFmtId="2" fontId="8" fillId="12" borderId="1" xfId="0" applyNumberFormat="1" applyFont="1" applyFill="1" applyBorder="1" applyAlignment="1">
      <alignment horizontal="center" vertical="center" wrapText="1"/>
    </xf>
    <xf numFmtId="2" fontId="8" fillId="5" borderId="10" xfId="0" applyNumberFormat="1" applyFont="1" applyFill="1" applyBorder="1" applyAlignment="1">
      <alignment horizontal="center" vertical="center" wrapText="1"/>
    </xf>
    <xf numFmtId="2" fontId="0" fillId="0" borderId="0" xfId="0" applyNumberFormat="1"/>
    <xf numFmtId="0" fontId="6" fillId="2" borderId="0" xfId="0" applyFont="1" applyFill="1" applyAlignment="1">
      <alignment horizontal="center" vertical="center" wrapText="1"/>
    </xf>
    <xf numFmtId="0" fontId="5" fillId="5" borderId="2" xfId="0" applyFont="1" applyFill="1" applyBorder="1" applyAlignment="1">
      <alignment horizontal="left" vertical="center" wrapText="1"/>
    </xf>
    <xf numFmtId="0" fontId="2" fillId="2" borderId="0" xfId="0" applyFont="1" applyFill="1" applyAlignment="1">
      <alignment horizontal="center" vertical="center" wrapText="1"/>
    </xf>
    <xf numFmtId="0" fontId="10" fillId="6" borderId="0" xfId="0" applyFont="1" applyFill="1" applyAlignment="1">
      <alignment horizontal="center" vertical="center" wrapText="1"/>
    </xf>
    <xf numFmtId="0" fontId="10" fillId="9" borderId="0" xfId="0" applyFont="1" applyFill="1" applyAlignment="1">
      <alignment horizontal="center" vertical="center" wrapText="1"/>
    </xf>
    <xf numFmtId="0" fontId="11" fillId="18" borderId="0" xfId="0" applyFont="1" applyFill="1" applyAlignment="1">
      <alignment horizontal="center" vertical="center" wrapText="1"/>
    </xf>
    <xf numFmtId="0" fontId="10" fillId="10" borderId="0" xfId="0" applyFont="1" applyFill="1" applyAlignment="1">
      <alignment horizontal="center" vertical="center" wrapText="1"/>
    </xf>
    <xf numFmtId="0" fontId="3" fillId="6" borderId="1" xfId="0" applyFont="1" applyFill="1" applyBorder="1" applyAlignment="1">
      <alignment horizontal="center" vertical="center" wrapText="1"/>
    </xf>
    <xf numFmtId="164" fontId="7" fillId="4" borderId="1" xfId="0" applyNumberFormat="1" applyFont="1" applyFill="1" applyBorder="1" applyAlignment="1">
      <alignment horizontal="center" vertical="center" wrapText="1"/>
    </xf>
    <xf numFmtId="0" fontId="10" fillId="3" borderId="0" xfId="0" applyFont="1" applyFill="1" applyAlignment="1">
      <alignment horizontal="center" vertical="center" wrapText="1"/>
    </xf>
    <xf numFmtId="0" fontId="10" fillId="7" borderId="0" xfId="0" applyFont="1" applyFill="1" applyAlignment="1">
      <alignment horizontal="center" vertical="center" wrapText="1"/>
    </xf>
    <xf numFmtId="0" fontId="3" fillId="2" borderId="0" xfId="0" applyFont="1" applyFill="1" applyAlignment="1">
      <alignment horizontal="center" vertical="center" wrapText="1"/>
    </xf>
    <xf numFmtId="0" fontId="13" fillId="2" borderId="0" xfId="0" applyFont="1" applyFill="1" applyAlignment="1">
      <alignment horizontal="center" vertical="center" wrapText="1"/>
    </xf>
    <xf numFmtId="0" fontId="3" fillId="6" borderId="0" xfId="0" applyFont="1" applyFill="1" applyAlignment="1">
      <alignment horizontal="center" vertical="center" wrapText="1"/>
    </xf>
    <xf numFmtId="0" fontId="3" fillId="6"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164" fontId="12" fillId="4" borderId="1" xfId="0" applyNumberFormat="1" applyFont="1" applyFill="1" applyBorder="1" applyAlignment="1">
      <alignment horizontal="center" vertical="center" wrapText="1"/>
    </xf>
    <xf numFmtId="9" fontId="12" fillId="4" borderId="1" xfId="0" applyNumberFormat="1" applyFont="1" applyFill="1" applyBorder="1" applyAlignment="1">
      <alignment horizontal="center" vertical="center" wrapText="1"/>
    </xf>
    <xf numFmtId="0" fontId="8" fillId="25" borderId="4" xfId="0" applyFont="1" applyFill="1" applyBorder="1" applyAlignment="1">
      <alignment horizontal="left" vertical="top" wrapText="1"/>
    </xf>
    <xf numFmtId="0" fontId="3" fillId="24" borderId="1" xfId="0" applyFont="1" applyFill="1" applyBorder="1" applyAlignment="1">
      <alignment horizontal="left" vertical="center" wrapText="1"/>
    </xf>
    <xf numFmtId="165" fontId="12" fillId="4" borderId="1" xfId="0" applyNumberFormat="1"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5" fillId="21" borderId="0" xfId="0" applyFont="1" applyFill="1" applyAlignment="1">
      <alignment horizontal="center" vertical="center" wrapText="1"/>
    </xf>
    <xf numFmtId="0" fontId="3" fillId="16" borderId="2"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7" fillId="12" borderId="9" xfId="0" applyFont="1" applyFill="1" applyBorder="1" applyAlignment="1">
      <alignment horizontal="center" vertical="center" wrapText="1"/>
    </xf>
    <xf numFmtId="164" fontId="8" fillId="12" borderId="10" xfId="0" applyNumberFormat="1" applyFont="1" applyFill="1" applyBorder="1" applyAlignment="1">
      <alignment horizontal="center" vertical="center" wrapText="1"/>
    </xf>
    <xf numFmtId="0" fontId="3" fillId="13" borderId="4" xfId="0" applyFont="1" applyFill="1" applyBorder="1" applyAlignment="1">
      <alignment horizontal="center" vertical="center" wrapText="1"/>
    </xf>
    <xf numFmtId="2" fontId="8" fillId="12" borderId="10" xfId="0" applyNumberFormat="1" applyFont="1" applyFill="1" applyBorder="1" applyAlignment="1">
      <alignment horizontal="center" vertical="center" wrapText="1"/>
    </xf>
    <xf numFmtId="2" fontId="3" fillId="9" borderId="1" xfId="0" applyNumberFormat="1" applyFont="1" applyFill="1" applyBorder="1" applyAlignment="1">
      <alignment horizontal="center" vertical="center" wrapText="1"/>
    </xf>
    <xf numFmtId="0" fontId="16" fillId="2" borderId="5" xfId="0" applyFont="1" applyFill="1" applyBorder="1" applyAlignment="1">
      <alignment horizontal="center" vertical="center" wrapText="1"/>
    </xf>
    <xf numFmtId="0" fontId="13" fillId="17" borderId="5" xfId="0" applyFont="1" applyFill="1" applyBorder="1" applyAlignment="1">
      <alignment horizontal="center" vertical="center" wrapText="1"/>
    </xf>
    <xf numFmtId="0" fontId="13" fillId="11" borderId="5" xfId="0" applyFont="1" applyFill="1" applyBorder="1" applyAlignment="1">
      <alignment horizontal="center" vertical="center" wrapText="1"/>
    </xf>
    <xf numFmtId="0" fontId="13" fillId="16" borderId="5" xfId="0" applyFont="1" applyFill="1" applyBorder="1" applyAlignment="1">
      <alignment horizontal="center" vertical="center" wrapText="1"/>
    </xf>
    <xf numFmtId="0" fontId="13" fillId="13" borderId="5" xfId="0" applyFont="1" applyFill="1" applyBorder="1" applyAlignment="1">
      <alignment horizontal="center" vertical="center" wrapText="1"/>
    </xf>
    <xf numFmtId="0" fontId="13" fillId="15" borderId="5" xfId="0" applyFont="1" applyFill="1" applyBorder="1" applyAlignment="1">
      <alignment horizontal="center" vertical="center" wrapText="1"/>
    </xf>
    <xf numFmtId="9" fontId="19" fillId="4" borderId="5" xfId="0" applyNumberFormat="1" applyFont="1" applyFill="1" applyBorder="1" applyAlignment="1">
      <alignment horizontal="center" vertical="center" wrapText="1"/>
    </xf>
    <xf numFmtId="0" fontId="16" fillId="2" borderId="6" xfId="0" applyFont="1" applyFill="1" applyBorder="1" applyAlignment="1">
      <alignment horizontal="center" vertical="center" wrapText="1"/>
    </xf>
    <xf numFmtId="0" fontId="13" fillId="17"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3" fillId="16" borderId="7" xfId="0" applyFont="1" applyFill="1" applyBorder="1" applyAlignment="1">
      <alignment horizontal="center" vertical="center" wrapText="1"/>
    </xf>
    <xf numFmtId="0" fontId="13" fillId="13" borderId="7" xfId="0" applyFont="1" applyFill="1" applyBorder="1" applyAlignment="1">
      <alignment horizontal="center" vertical="center" wrapText="1"/>
    </xf>
    <xf numFmtId="0" fontId="13" fillId="15" borderId="7" xfId="0" applyFont="1" applyFill="1" applyBorder="1" applyAlignment="1">
      <alignment horizontal="center" vertical="center" wrapText="1"/>
    </xf>
    <xf numFmtId="0" fontId="29" fillId="0" borderId="11" xfId="0" applyFont="1" applyBorder="1" applyAlignment="1">
      <alignment vertical="center" wrapText="1" readingOrder="1"/>
    </xf>
    <xf numFmtId="0" fontId="29" fillId="0" borderId="12" xfId="0" applyFont="1" applyBorder="1" applyAlignment="1">
      <alignment vertical="center" wrapText="1" readingOrder="1"/>
    </xf>
    <xf numFmtId="0" fontId="28" fillId="0" borderId="13" xfId="0" applyFont="1" applyBorder="1" applyAlignment="1">
      <alignment vertical="center" wrapText="1" readingOrder="1"/>
    </xf>
    <xf numFmtId="0" fontId="29" fillId="0" borderId="14" xfId="0" applyFont="1" applyBorder="1" applyAlignment="1">
      <alignment vertical="center" wrapText="1" readingOrder="1"/>
    </xf>
    <xf numFmtId="0" fontId="29" fillId="0" borderId="15" xfId="0" applyFont="1" applyBorder="1" applyAlignment="1">
      <alignment vertical="center" wrapText="1" readingOrder="1"/>
    </xf>
    <xf numFmtId="0" fontId="29" fillId="0" borderId="16" xfId="0" applyFont="1" applyBorder="1" applyAlignment="1">
      <alignment vertical="center" wrapText="1" readingOrder="1"/>
    </xf>
    <xf numFmtId="0" fontId="28" fillId="0" borderId="17" xfId="0" applyFont="1" applyBorder="1" applyAlignment="1">
      <alignment vertical="center" wrapText="1" readingOrder="1"/>
    </xf>
    <xf numFmtId="0" fontId="29" fillId="0" borderId="18" xfId="0" applyFont="1" applyBorder="1" applyAlignment="1">
      <alignment vertical="center" wrapText="1" readingOrder="1"/>
    </xf>
  </cellXfs>
  <cellStyles count="2">
    <cellStyle name="Normal" xfId="0" builtinId="0"/>
    <cellStyle name="Percent" xfId="1" builtinId="5"/>
  </cellStyles>
  <dxfs count="37">
    <dxf>
      <font>
        <b/>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i val="0"/>
        <strike val="0"/>
        <condense val="0"/>
        <extend val="0"/>
        <outline val="0"/>
        <shadow val="0"/>
        <u val="none"/>
        <vertAlign val="baseline"/>
        <sz val="11"/>
        <color rgb="FF1F1F1F"/>
        <name val="Arial"/>
        <family val="2"/>
        <scheme val="none"/>
      </font>
      <alignment horizontal="general" vertical="center" textRotation="0" wrapText="1" indent="0"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Arial"/>
        <family val="2"/>
        <scheme val="none"/>
      </font>
      <numFmt numFmtId="13" formatCode="0%"/>
      <fill>
        <patternFill patternType="solid">
          <fgColor rgb="FFFDEBD0"/>
          <bgColor rgb="FFFADBD8"/>
        </patternFill>
      </fill>
      <alignment horizontal="center" vertical="center" textRotation="0" wrapText="1" indent="0" justifyLastLine="0" shrinkToFit="0" readingOrder="0"/>
      <border diagonalUp="0" diagonalDown="0">
        <left style="medium">
          <color rgb="FF2E86AB"/>
        </left>
        <right style="medium">
          <color rgb="FF2E86AB"/>
        </right>
        <top style="medium">
          <color rgb="FF2E86AB"/>
        </top>
        <bottom style="medium">
          <color rgb="FF2E86AB"/>
        </bottom>
        <vertical/>
        <horizontal/>
      </border>
    </dxf>
    <dxf>
      <font>
        <b/>
        <i val="0"/>
        <strike val="0"/>
        <condense val="0"/>
        <extend val="0"/>
        <outline val="0"/>
        <shadow val="0"/>
        <u val="none"/>
        <vertAlign val="baseline"/>
        <sz val="11"/>
        <color auto="1"/>
        <name val="Arial"/>
        <family val="2"/>
        <scheme val="none"/>
      </font>
      <numFmt numFmtId="13" formatCode="0%"/>
      <fill>
        <patternFill patternType="solid">
          <fgColor rgb="FFFDEBD0"/>
          <bgColor rgb="FFFADBD8"/>
        </patternFill>
      </fill>
      <alignment horizontal="center" vertical="center" textRotation="0" wrapText="1" indent="0" justifyLastLine="0" shrinkToFit="0" readingOrder="0"/>
      <border diagonalUp="0" diagonalDown="0">
        <left style="medium">
          <color rgb="FF2E86AB"/>
        </left>
        <right style="medium">
          <color rgb="FF2E86AB"/>
        </right>
        <top style="medium">
          <color rgb="FF2E86AB"/>
        </top>
        <bottom style="medium">
          <color rgb="FF2E86AB"/>
        </bottom>
        <vertical/>
        <horizontal/>
      </border>
    </dxf>
    <dxf>
      <font>
        <b/>
        <i val="0"/>
        <strike val="0"/>
        <condense val="0"/>
        <extend val="0"/>
        <outline val="0"/>
        <shadow val="0"/>
        <u val="none"/>
        <vertAlign val="baseline"/>
        <sz val="11"/>
        <color auto="1"/>
        <name val="Arial"/>
        <family val="2"/>
        <scheme val="none"/>
      </font>
      <numFmt numFmtId="13" formatCode="0%"/>
      <fill>
        <patternFill patternType="solid">
          <fgColor rgb="FFD6EAF8"/>
          <bgColor rgb="FFD5F5E3"/>
        </patternFill>
      </fill>
      <alignment horizontal="center" vertical="center" textRotation="0" wrapText="1" indent="0" justifyLastLine="0" shrinkToFit="0" readingOrder="0"/>
      <border diagonalUp="0" diagonalDown="0">
        <left style="medium">
          <color rgb="FF2E86AB"/>
        </left>
        <right style="medium">
          <color rgb="FF2E86AB"/>
        </right>
        <top style="medium">
          <color rgb="FF2E86AB"/>
        </top>
        <bottom style="medium">
          <color rgb="FF2E86AB"/>
        </bottom>
        <vertical/>
        <horizontal/>
      </border>
    </dxf>
    <dxf>
      <font>
        <b/>
        <i val="0"/>
        <strike val="0"/>
        <condense val="0"/>
        <extend val="0"/>
        <outline val="0"/>
        <shadow val="0"/>
        <u val="none"/>
        <vertAlign val="baseline"/>
        <sz val="11"/>
        <color auto="1"/>
        <name val="Arial"/>
        <family val="2"/>
        <scheme val="none"/>
      </font>
      <numFmt numFmtId="13" formatCode="0%"/>
      <fill>
        <patternFill patternType="solid">
          <fgColor rgb="FFD6EAF8"/>
          <bgColor rgb="FFD5F5E3"/>
        </patternFill>
      </fill>
      <alignment horizontal="center" vertical="center" textRotation="0" wrapText="1" indent="0" justifyLastLine="0" shrinkToFit="0" readingOrder="0"/>
      <border diagonalUp="0" diagonalDown="0">
        <left style="medium">
          <color rgb="FF2E86AB"/>
        </left>
        <right style="medium">
          <color rgb="FF2E86AB"/>
        </right>
        <top style="medium">
          <color rgb="FF2E86AB"/>
        </top>
        <bottom style="medium">
          <color rgb="FF2E86AB"/>
        </bottom>
        <vertical/>
        <horizontal/>
      </border>
    </dxf>
    <dxf>
      <border outline="0">
        <bottom style="thin">
          <color rgb="FFCCCCCC"/>
        </bottom>
      </border>
    </dxf>
    <dxf>
      <border outline="0">
        <left style="thin">
          <color rgb="FFCCCCCC"/>
        </left>
        <right style="thin">
          <color rgb="FFCCCCCC"/>
        </right>
        <top style="thin">
          <color rgb="FFCCCCCC"/>
        </top>
      </border>
    </dxf>
    <dxf>
      <font>
        <b val="0"/>
        <i val="0"/>
        <strike val="0"/>
        <condense val="0"/>
        <extend val="0"/>
        <outline val="0"/>
        <shadow val="0"/>
        <u val="none"/>
        <vertAlign val="baseline"/>
        <sz val="10"/>
        <color rgb="FF111111"/>
        <name val="Arial"/>
        <family val="2"/>
        <scheme val="none"/>
      </font>
      <numFmt numFmtId="2" formatCode="0.00"/>
      <fill>
        <patternFill patternType="solid">
          <fgColor rgb="FFEBF5FB"/>
          <bgColor rgb="FFF2F3F4"/>
        </patternFill>
      </fill>
      <alignment horizontal="center" vertical="center"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rgb="FF2980B9"/>
          <bgColor rgb="FF2E86AB"/>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rgb="FF111111"/>
        <name val="Arial"/>
        <family val="2"/>
        <scheme val="none"/>
      </font>
      <fill>
        <patternFill patternType="solid">
          <fgColor rgb="FFEBF5FB"/>
          <bgColor rgb="FFF2F3F4"/>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rgb="FFFF9900"/>
          <bgColor rgb="FFE67E22"/>
        </patternFill>
      </fill>
      <alignment horizontal="center"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rgb="FF111111"/>
        <name val="Arial"/>
        <family val="2"/>
        <scheme val="none"/>
      </font>
      <numFmt numFmtId="164" formatCode="0.0"/>
      <fill>
        <patternFill patternType="solid">
          <fgColor rgb="FFEBF5FB"/>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11111"/>
        <name val="Arial"/>
        <family val="2"/>
        <scheme val="none"/>
      </font>
      <numFmt numFmtId="164" formatCode="0.0"/>
      <fill>
        <patternFill patternType="solid">
          <fgColor rgb="FFEBF5FB"/>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11111"/>
        <name val="Arial"/>
        <family val="2"/>
        <scheme val="none"/>
      </font>
      <numFmt numFmtId="164" formatCode="0.0"/>
      <fill>
        <patternFill patternType="solid">
          <fgColor rgb="FFEBF5FB"/>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11111"/>
        <name val="Arial"/>
        <family val="2"/>
        <scheme val="none"/>
      </font>
      <numFmt numFmtId="164" formatCode="0.0"/>
      <fill>
        <patternFill patternType="solid">
          <fgColor rgb="FFEBF5FB"/>
          <bgColor rgb="FFF2F3F4"/>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0"/>
        <color rgb="FF111111"/>
        <name val="Arial"/>
        <family val="2"/>
        <scheme val="none"/>
      </font>
      <fill>
        <patternFill patternType="solid">
          <fgColor rgb="FFEBF5FB"/>
          <bgColor rgb="FFF2F3F4"/>
        </patternFill>
      </fill>
      <alignment horizontal="center"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111111"/>
        <name val="Arial"/>
        <family val="2"/>
        <scheme val="none"/>
      </font>
      <fill>
        <patternFill patternType="solid">
          <fgColor rgb="FFFEF9E7"/>
          <bgColor rgb="FFFFFFFF"/>
        </patternFill>
      </fill>
      <alignment horizontal="center" vertical="center" textRotation="0" wrapText="1" indent="0" justifyLastLine="0" shrinkToFit="0" readingOrder="0"/>
      <border diagonalUp="0" diagonalDown="0">
        <left style="thin">
          <color rgb="FFCCCCCC"/>
        </left>
        <right/>
        <top style="thin">
          <color rgb="FFCCCCCC"/>
        </top>
        <bottom style="thin">
          <color rgb="FFCCCCCC"/>
        </bottom>
        <vertical/>
        <horizontal/>
      </border>
    </dxf>
    <dxf>
      <font>
        <b/>
        <i val="0"/>
        <strike val="0"/>
        <condense val="0"/>
        <extend val="0"/>
        <outline val="0"/>
        <shadow val="0"/>
        <u val="none"/>
        <vertAlign val="baseline"/>
        <sz val="10"/>
        <color rgb="FFFFFFFF"/>
        <name val="Arial"/>
        <family val="2"/>
        <scheme val="none"/>
      </font>
      <fill>
        <patternFill patternType="solid">
          <fgColor rgb="FFC0392B"/>
          <bgColor rgb="FFBA4A00"/>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0"/>
        <color rgb="FFFFFFFF"/>
        <name val="Arial"/>
        <family val="2"/>
        <scheme val="none"/>
      </font>
      <fill>
        <patternFill patternType="solid">
          <fgColor rgb="FFFF9900"/>
          <bgColor rgb="FFE67E22"/>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11111"/>
        <name val="Arial"/>
        <family val="2"/>
        <scheme val="none"/>
      </font>
      <fill>
        <patternFill patternType="solid">
          <fgColor rgb="FFFEF9E7"/>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11111"/>
        <name val="Arial"/>
        <family val="2"/>
        <scheme val="none"/>
      </font>
      <numFmt numFmtId="2" formatCode="0.00"/>
      <fill>
        <patternFill patternType="solid">
          <fgColor rgb="FFFEF9E7"/>
          <bgColor rgb="FFFFFFFF"/>
        </patternFill>
      </fill>
      <alignment horizontal="center" vertical="center" textRotation="0" wrapText="1"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111111"/>
        <name val="Arial"/>
        <family val="2"/>
        <scheme val="none"/>
      </font>
      <fill>
        <patternFill patternType="solid">
          <fgColor rgb="FFFEF9E7"/>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11111"/>
        <name val="Arial"/>
        <family val="2"/>
        <scheme val="none"/>
      </font>
      <fill>
        <patternFill patternType="solid">
          <fgColor rgb="FFFEF9E7"/>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rgb="FF111111"/>
        <name val="Arial"/>
        <family val="2"/>
        <scheme val="none"/>
      </font>
      <fill>
        <patternFill patternType="solid">
          <fgColor rgb="FFFEF9E7"/>
          <bgColor rgb="FFFFFFFF"/>
        </patternFill>
      </fill>
      <alignment horizontal="center" vertical="center" textRotation="0" wrapText="1"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10"/>
        <color rgb="FF111111"/>
        <name val="Arial"/>
        <family val="2"/>
        <scheme val="none"/>
      </font>
      <fill>
        <patternFill patternType="solid">
          <fgColor rgb="FFFEF9E7"/>
          <bgColor rgb="FFFFFFFF"/>
        </patternFill>
      </fill>
      <alignment horizontal="center" vertical="center" textRotation="0" wrapText="1"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rgb="FF2980B9"/>
          <bgColor rgb="FF2E86AB"/>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008000"/>
      <rgbColor rgb="FF000080"/>
      <rgbColor rgb="FFBA4A00"/>
      <rgbColor rgb="FF800080"/>
      <rgbColor rgb="FF2E86AB"/>
      <rgbColor rgb="FFCCCCCC"/>
      <rgbColor rgb="FF7F8C8D"/>
      <rgbColor rgb="FF9999FF"/>
      <rgbColor rgb="FF6C3483"/>
      <rgbColor rgb="FFFEF9E7"/>
      <rgbColor rgb="FFD6EAF8"/>
      <rgbColor rgb="FF660066"/>
      <rgbColor rgb="FFFF8080"/>
      <rgbColor rgb="FF1F618D"/>
      <rgbColor rgb="FFD5D8DC"/>
      <rgbColor rgb="FF000080"/>
      <rgbColor rgb="FFFF00FF"/>
      <rgbColor rgb="FFFFFF00"/>
      <rgbColor rgb="FF00FFFF"/>
      <rgbColor rgb="FF800080"/>
      <rgbColor rgb="FF800000"/>
      <rgbColor rgb="FF2980B9"/>
      <rgbColor rgb="FF0000FF"/>
      <rgbColor rgb="FF00CCFF"/>
      <rgbColor rgb="FFEBF5FB"/>
      <rgbColor rgb="FFD5F5E3"/>
      <rgbColor rgb="FFFDEBD0"/>
      <rgbColor rgb="FFF2F3F4"/>
      <rgbColor rgb="FFF0F8FF"/>
      <rgbColor rgb="FFCC99FF"/>
      <rgbColor rgb="FFFADBD8"/>
      <rgbColor rgb="FF3366FF"/>
      <rgbColor rgb="FF33CCCC"/>
      <rgbColor rgb="FF99CC00"/>
      <rgbColor rgb="FFF0B429"/>
      <rgbColor rgb="FFFF9900"/>
      <rgbColor rgb="FFE67E22"/>
      <rgbColor rgb="FF555555"/>
      <rgbColor rgb="FF969696"/>
      <rgbColor rgb="FF1A5276"/>
      <rgbColor rgb="FF1E8449"/>
      <rgbColor rgb="FF111111"/>
      <rgbColor rgb="FF222222"/>
      <rgbColor rgb="FF922B21"/>
      <rgbColor rgb="FFC0392B"/>
      <rgbColor rgb="FF444444"/>
      <rgbColor rgb="FF1B3A4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Average Overall % by Attendance Group</a:t>
            </a:r>
          </a:p>
        </c:rich>
      </c:tx>
      <c:overlay val="0"/>
      <c:spPr>
        <a:noFill/>
        <a:ln w="0">
          <a:noFill/>
        </a:ln>
      </c:spPr>
    </c:title>
    <c:autoTitleDeleted val="0"/>
    <c:plotArea>
      <c:layout/>
      <c:barChart>
        <c:barDir val="col"/>
        <c:grouping val="clustered"/>
        <c:varyColors val="0"/>
        <c:ser>
          <c:idx val="0"/>
          <c:order val="0"/>
          <c:tx>
            <c:strRef>
              <c:f>'[1]Chart Data'!$E$2</c:f>
              <c:strCache>
                <c:ptCount val="1"/>
                <c:pt idx="0">
                  <c:v>Avg Overall %</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'[1]Chart Data'!$A$3:$A$5</c:f>
              <c:strCache>
                <c:ptCount val="3"/>
                <c:pt idx="0">
                  <c:v>High (90-100%)</c:v>
                </c:pt>
                <c:pt idx="1">
                  <c:v>Medium (75-89%)</c:v>
                </c:pt>
                <c:pt idx="2">
                  <c:v>Low (&lt;75%)</c:v>
                </c:pt>
              </c:strCache>
            </c:strRef>
          </c:cat>
          <c:val>
            <c:numRef>
              <c:f>'[1]Chart Data'!$E$3:$E$5</c:f>
              <c:numCache>
                <c:formatCode>General</c:formatCode>
                <c:ptCount val="3"/>
                <c:pt idx="0">
                  <c:v>65.5</c:v>
                </c:pt>
                <c:pt idx="1">
                  <c:v>63.2</c:v>
                </c:pt>
                <c:pt idx="2">
                  <c:v>58.3</c:v>
                </c:pt>
              </c:numCache>
            </c:numRef>
          </c:val>
          <c:extLst>
            <c:ext xmlns:c16="http://schemas.microsoft.com/office/drawing/2014/chart" uri="{C3380CC4-5D6E-409C-BE32-E72D297353CC}">
              <c16:uniqueId val="{00000000-279A-4D75-BE0D-DD24C47380E6}"/>
            </c:ext>
          </c:extLst>
        </c:ser>
        <c:dLbls>
          <c:showLegendKey val="0"/>
          <c:showVal val="0"/>
          <c:showCatName val="0"/>
          <c:showSerName val="0"/>
          <c:showPercent val="0"/>
          <c:showBubbleSize val="0"/>
        </c:dLbls>
        <c:gapWidth val="150"/>
        <c:axId val="50019734"/>
        <c:axId val="43871814"/>
      </c:barChart>
      <c:catAx>
        <c:axId val="50019734"/>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Attendance Group</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871814"/>
        <c:crosses val="autoZero"/>
        <c:auto val="1"/>
        <c:lblAlgn val="ctr"/>
        <c:lblOffset val="100"/>
        <c:noMultiLvlLbl val="0"/>
      </c:catAx>
      <c:valAx>
        <c:axId val="43871814"/>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Average Overall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001973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Average Term % by Subject (All Grades)</a:t>
            </a:r>
          </a:p>
        </c:rich>
      </c:tx>
      <c:overlay val="0"/>
      <c:spPr>
        <a:noFill/>
        <a:ln w="0">
          <a:noFill/>
        </a:ln>
      </c:spPr>
    </c:title>
    <c:autoTitleDeleted val="0"/>
    <c:plotArea>
      <c:layout/>
      <c:barChart>
        <c:barDir val="bar"/>
        <c:grouping val="clustered"/>
        <c:varyColors val="0"/>
        <c:ser>
          <c:idx val="0"/>
          <c:order val="0"/>
          <c:tx>
            <c:strRef>
              <c:f>'[1]Subject Performance'!$J$1</c:f>
              <c:strCache>
                <c:ptCount val="1"/>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'[1]Subject Performance'!$I$2:$I$11</c:f>
              <c:strCache>
                <c:ptCount val="10"/>
                <c:pt idx="0">
                  <c:v>English Reading</c:v>
                </c:pt>
                <c:pt idx="1">
                  <c:v>Geography</c:v>
                </c:pt>
                <c:pt idx="2">
                  <c:v>Islamiat</c:v>
                </c:pt>
                <c:pt idx="3">
                  <c:v>History</c:v>
                </c:pt>
                <c:pt idx="4">
                  <c:v>Urdu</c:v>
                </c:pt>
                <c:pt idx="5">
                  <c:v>Mathematics</c:v>
                </c:pt>
                <c:pt idx="6">
                  <c:v>English Lit</c:v>
                </c:pt>
                <c:pt idx="7">
                  <c:v>Science</c:v>
                </c:pt>
                <c:pt idx="8">
                  <c:v>Computer Sci</c:v>
                </c:pt>
                <c:pt idx="9">
                  <c:v>Arabic</c:v>
                </c:pt>
              </c:strCache>
            </c:strRef>
          </c:cat>
          <c:val>
            <c:numRef>
              <c:f>'[1]Subject Performance'!$J$2:$J$11</c:f>
              <c:numCache>
                <c:formatCode>General</c:formatCode>
                <c:ptCount val="10"/>
                <c:pt idx="0">
                  <c:v>67.900000000000006</c:v>
                </c:pt>
                <c:pt idx="1">
                  <c:v>66.5</c:v>
                </c:pt>
                <c:pt idx="2">
                  <c:v>64.400000000000006</c:v>
                </c:pt>
                <c:pt idx="3">
                  <c:v>63.9</c:v>
                </c:pt>
                <c:pt idx="4">
                  <c:v>63</c:v>
                </c:pt>
                <c:pt idx="5">
                  <c:v>62.4</c:v>
                </c:pt>
                <c:pt idx="6">
                  <c:v>60.9</c:v>
                </c:pt>
                <c:pt idx="7">
                  <c:v>59.7</c:v>
                </c:pt>
                <c:pt idx="8">
                  <c:v>59</c:v>
                </c:pt>
                <c:pt idx="9">
                  <c:v>52.3</c:v>
                </c:pt>
              </c:numCache>
            </c:numRef>
          </c:val>
          <c:extLst>
            <c:ext xmlns:c16="http://schemas.microsoft.com/office/drawing/2014/chart" uri="{C3380CC4-5D6E-409C-BE32-E72D297353CC}">
              <c16:uniqueId val="{00000000-644E-4016-B18F-49CC51DAC73C}"/>
            </c:ext>
          </c:extLst>
        </c:ser>
        <c:dLbls>
          <c:showLegendKey val="0"/>
          <c:showVal val="0"/>
          <c:showCatName val="0"/>
          <c:showSerName val="0"/>
          <c:showPercent val="0"/>
          <c:showBubbleSize val="0"/>
        </c:dLbls>
        <c:gapWidth val="150"/>
        <c:axId val="70433924"/>
        <c:axId val="99201605"/>
      </c:barChart>
      <c:catAx>
        <c:axId val="70433924"/>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Average Term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9201605"/>
        <c:crosses val="autoZero"/>
        <c:auto val="1"/>
        <c:lblAlgn val="ctr"/>
        <c:lblOffset val="100"/>
        <c:noMultiLvlLbl val="0"/>
      </c:catAx>
      <c:valAx>
        <c:axId val="99201605"/>
        <c:scaling>
          <c:orientation val="minMax"/>
        </c:scaling>
        <c:delete val="0"/>
        <c:axPos val="b"/>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043392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17280</xdr:colOff>
      <xdr:row>27</xdr:row>
      <xdr:rowOff>4700</xdr:rowOff>
    </xdr:to>
    <xdr:graphicFrame macro="">
      <xdr:nvGraphicFramePr>
        <xdr:cNvPr id="2" name="Chart 1">
          <a:extLst>
            <a:ext uri="{FF2B5EF4-FFF2-40B4-BE49-F238E27FC236}">
              <a16:creationId xmlns:a16="http://schemas.microsoft.com/office/drawing/2014/main" id="{9EE57066-3FEA-406E-AA50-C967A9EC6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6</xdr:col>
      <xdr:colOff>571000</xdr:colOff>
      <xdr:row>51</xdr:row>
      <xdr:rowOff>92900</xdr:rowOff>
    </xdr:to>
    <xdr:graphicFrame macro="">
      <xdr:nvGraphicFramePr>
        <xdr:cNvPr id="2" name="Chart 1">
          <a:extLst>
            <a:ext uri="{FF2B5EF4-FFF2-40B4-BE49-F238E27FC236}">
              <a16:creationId xmlns:a16="http://schemas.microsoft.com/office/drawing/2014/main" id="{873BA830-FCC8-4A91-B236-FC8614CD9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101600</xdr:colOff>
      <xdr:row>4</xdr:row>
      <xdr:rowOff>6350</xdr:rowOff>
    </xdr:from>
    <xdr:to>
      <xdr:col>16</xdr:col>
      <xdr:colOff>177800</xdr:colOff>
      <xdr:row>6</xdr:row>
      <xdr:rowOff>133350</xdr:rowOff>
    </xdr:to>
    <xdr:sp macro="" textlink="">
      <xdr:nvSpPr>
        <xdr:cNvPr id="2" name="TextBox 1">
          <a:extLst>
            <a:ext uri="{FF2B5EF4-FFF2-40B4-BE49-F238E27FC236}">
              <a16:creationId xmlns:a16="http://schemas.microsoft.com/office/drawing/2014/main" id="{8400AE67-DBFB-3E10-2B89-1A38D7DA5847}"/>
            </a:ext>
          </a:extLst>
        </xdr:cNvPr>
        <xdr:cNvSpPr txBox="1"/>
      </xdr:nvSpPr>
      <xdr:spPr>
        <a:xfrm>
          <a:off x="9404350" y="742950"/>
          <a:ext cx="4654550" cy="49530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Prediction of Grades</a:t>
          </a:r>
          <a:r>
            <a:rPr lang="en-US" sz="1100" baseline="0"/>
            <a:t> count in Final Term according to our Transition matrix.</a:t>
          </a:r>
        </a:p>
        <a:p>
          <a:endParaRPr lang="en-US" sz="1100"/>
        </a:p>
      </xdr:txBody>
    </xdr:sp>
    <xdr:clientData/>
  </xdr:twoCellAnchor>
  <xdr:twoCellAnchor>
    <xdr:from>
      <xdr:col>4</xdr:col>
      <xdr:colOff>488950</xdr:colOff>
      <xdr:row>7</xdr:row>
      <xdr:rowOff>152400</xdr:rowOff>
    </xdr:from>
    <xdr:to>
      <xdr:col>11</xdr:col>
      <xdr:colOff>381000</xdr:colOff>
      <xdr:row>18</xdr:row>
      <xdr:rowOff>57150</xdr:rowOff>
    </xdr:to>
    <xdr:sp macro="" textlink="">
      <xdr:nvSpPr>
        <xdr:cNvPr id="3" name="TextBox 2">
          <a:extLst>
            <a:ext uri="{FF2B5EF4-FFF2-40B4-BE49-F238E27FC236}">
              <a16:creationId xmlns:a16="http://schemas.microsoft.com/office/drawing/2014/main" id="{B1B42A6C-E86B-23C5-050E-06BA8AF7CA3D}"/>
            </a:ext>
          </a:extLst>
        </xdr:cNvPr>
        <xdr:cNvSpPr txBox="1"/>
      </xdr:nvSpPr>
      <xdr:spPr>
        <a:xfrm>
          <a:off x="2927350" y="1441450"/>
          <a:ext cx="4203700" cy="193040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ysClr val="windowText" lastClr="000000"/>
              </a:solidFill>
            </a:rPr>
            <a:t>A transition matrix was used to predict final term results based on class test performance. Class test grades were converted into percentages and multiplied with the transition matrix using MMULT to estimate the final grade distribution.</a:t>
          </a:r>
        </a:p>
        <a:p>
          <a:r>
            <a:rPr lang="en-US">
              <a:solidFill>
                <a:sysClr val="windowText" lastClr="000000"/>
              </a:solidFill>
            </a:rPr>
            <a:t>The output gave the expected percentage of students in each grade for the final term. These percentages were then converted into approximate counts based on a total class size of 51 students.</a:t>
          </a:r>
        </a:p>
        <a:p>
          <a:r>
            <a:rPr lang="en-US">
              <a:solidFill>
                <a:sysClr val="windowText" lastClr="000000"/>
              </a:solidFill>
            </a:rPr>
            <a:t>Overall, the model shows how students are expected to move between grade categories and helps predict final exam performance using past assessment trends.</a:t>
          </a:r>
        </a:p>
        <a:p>
          <a:endParaRPr lang="en-US" sz="1100">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ster_Final.xlsx" TargetMode="External"/><Relationship Id="rId2" Type="http://schemas.openxmlformats.org/officeDocument/2006/relationships/externalLinkPath" Target="file:///C:\Users\ELITEBOOK%20840-G8\Downloads\Aster_Final.xlsx" TargetMode="External"/><Relationship Id="rId1" Type="http://schemas.openxmlformats.org/officeDocument/2006/relationships/externalLinkPath" Target="/Users/ELITEBOOK%20840-G8/Downloads/Aster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Key Insights"/>
      <sheetName val="Raw Data"/>
      <sheetName val="Group Analysis"/>
      <sheetName val="Chart Data"/>
      <sheetName val="Top &amp; Bottom"/>
      <sheetName val="Term vs Class Test"/>
      <sheetName val="Subject Performance"/>
      <sheetName val="Teacher Analysis"/>
      <sheetName val="Transition Matrix"/>
    </sheetNames>
    <sheetDataSet>
      <sheetData sheetId="0"/>
      <sheetData sheetId="1"/>
      <sheetData sheetId="2"/>
      <sheetData sheetId="3">
        <row r="2">
          <cell r="E2" t="str">
            <v>Avg Overall %</v>
          </cell>
        </row>
        <row r="3">
          <cell r="A3" t="str">
            <v>High (90-100%)</v>
          </cell>
          <cell r="E3">
            <v>65.5</v>
          </cell>
        </row>
        <row r="4">
          <cell r="A4" t="str">
            <v>Medium (75-89%)</v>
          </cell>
          <cell r="E4">
            <v>63.2</v>
          </cell>
        </row>
        <row r="5">
          <cell r="A5" t="str">
            <v>Low (&lt;75%)</v>
          </cell>
          <cell r="E5">
            <v>58.3</v>
          </cell>
        </row>
      </sheetData>
      <sheetData sheetId="4"/>
      <sheetData sheetId="5"/>
      <sheetData sheetId="6">
        <row r="2">
          <cell r="I2" t="str">
            <v>English Reading</v>
          </cell>
          <cell r="J2">
            <v>67.900000000000006</v>
          </cell>
        </row>
        <row r="3">
          <cell r="I3" t="str">
            <v>Geography</v>
          </cell>
          <cell r="J3">
            <v>66.5</v>
          </cell>
        </row>
        <row r="4">
          <cell r="I4" t="str">
            <v>Islamiat</v>
          </cell>
          <cell r="J4">
            <v>64.400000000000006</v>
          </cell>
        </row>
        <row r="5">
          <cell r="I5" t="str">
            <v>History</v>
          </cell>
          <cell r="J5">
            <v>63.9</v>
          </cell>
        </row>
        <row r="6">
          <cell r="I6" t="str">
            <v>Urdu</v>
          </cell>
          <cell r="J6">
            <v>63</v>
          </cell>
        </row>
        <row r="7">
          <cell r="I7" t="str">
            <v>Mathematics</v>
          </cell>
          <cell r="J7">
            <v>62.4</v>
          </cell>
        </row>
        <row r="8">
          <cell r="I8" t="str">
            <v>English Lit</v>
          </cell>
          <cell r="J8">
            <v>60.9</v>
          </cell>
        </row>
        <row r="9">
          <cell r="I9" t="str">
            <v>Science</v>
          </cell>
          <cell r="J9">
            <v>59.7</v>
          </cell>
        </row>
        <row r="10">
          <cell r="I10" t="str">
            <v>Computer Sci</v>
          </cell>
          <cell r="J10">
            <v>59</v>
          </cell>
        </row>
        <row r="11">
          <cell r="I11" t="str">
            <v>Arabic</v>
          </cell>
          <cell r="J11">
            <v>52.3</v>
          </cell>
        </row>
      </sheetData>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AF1AE7-AC24-4B10-9639-5F2BE0FDBB3C}" name="Table4" displayName="Table4" ref="A2:I51" totalsRowShown="0" headerRowDxfId="36" headerRowBorderDxfId="35" tableBorderDxfId="34" totalsRowBorderDxfId="33">
  <autoFilter ref="A2:I51" xr:uid="{95AF1AE7-AC24-4B10-9639-5F2BE0FDBB3C}"/>
  <tableColumns count="9">
    <tableColumn id="1" xr3:uid="{08C42761-34FF-49AC-9EC0-A6C61E20AE5C}" name="Student Name" dataDxfId="32"/>
    <tableColumn id="2" xr3:uid="{135422A5-1339-454C-978E-A40A933464A8}" name="Grade" dataDxfId="31"/>
    <tableColumn id="3" xr3:uid="{DED107D2-D051-4808-8CC9-833A5789B137}" name="Attendance %" dataDxfId="30"/>
    <tableColumn id="4" xr3:uid="{EED2924E-E2C3-4040-A174-111623750FD2}" name="Math %" dataDxfId="29"/>
    <tableColumn id="5" xr3:uid="{3609444D-E083-4037-AB6F-BB1B0A14A6B1}" name="Overall %" dataDxfId="28"/>
    <tableColumn id="6" xr3:uid="{E2385C11-A33C-4177-BEBA-79E3295C34B0}" name="Attendance Group" dataDxfId="27">
      <calculatedColumnFormula>IF(C3&gt;=90,"High (90-100%)",IF(C3&gt;=75,"Medium (75-89%)","Low (&lt;75%)"))</calculatedColumnFormula>
    </tableColumn>
    <tableColumn id="7" xr3:uid="{05A738C9-73BA-42A8-8D08-991A5AE087A2}" name="Grade2" dataDxfId="26">
      <calculatedColumnFormula>IF(E3="","F",IF(E3&gt;80,"A",IF(E3&gt;=70,"B",IF(E3&gt;=60,"C",IF(E3&gt;=50,"D","F")))))</calculatedColumnFormula>
    </tableColumn>
    <tableColumn id="8" xr3:uid="{144F4174-A80F-413C-B777-F557CB130EAD}" name="At-Risk" dataDxfId="25">
      <calculatedColumnFormula>IF(AND(C3&lt;75,E3&lt;60),"YES",IF(AND(C3&gt;=75,E3&lt;60),"Academic Risk","NO"))</calculatedColumnFormula>
    </tableColumn>
    <tableColumn id="9" xr3:uid="{DE29DE83-351A-4FF2-92D2-268DF15A5F4D}" name="Outlier Flag" dataDxfId="24">
      <calculatedColumnFormula>IF(AND(C3&gt;=85,E3&lt;55),"High Att / Low Perf",IF(AND(C3&lt;75,E3&gt;=65),"Low Att / High Perf","Normal"))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953FB8-6744-453D-836A-6F071AC7C6D4}" name="Table5" displayName="Table5" ref="A4:G14" totalsRowShown="0" headerRowDxfId="13" dataDxfId="14" headerRowBorderDxfId="22" tableBorderDxfId="23" totalsRowBorderDxfId="21">
  <autoFilter ref="A4:G14" xr:uid="{AB953FB8-6744-453D-836A-6F071AC7C6D4}"/>
  <tableColumns count="7">
    <tableColumn id="1" xr3:uid="{2B319B48-3D55-4681-9412-C22FBD0E8181}" name="Subject" dataDxfId="20"/>
    <tableColumn id="2" xr3:uid="{5110C0F4-3383-4534-8B57-652E01711A03}" name="Grade 6 Avg %" dataDxfId="19"/>
    <tableColumn id="3" xr3:uid="{D4AEFFE7-683D-42B5-A833-1BFB5A2EB349}" name="Grade 7 Avg %" dataDxfId="18"/>
    <tableColumn id="4" xr3:uid="{29F55B1F-F885-4643-A783-053506CEFE0C}" name="Grade 8 Avg %" dataDxfId="17"/>
    <tableColumn id="5" xr3:uid="{3905D4DF-B340-4CD9-90AF-4B49ED60B281}" name="Overall Avg %" dataDxfId="16">
      <calculatedColumnFormula>AVERAGE(B5:D5)</calculatedColumnFormula>
    </tableColumn>
    <tableColumn id="6" xr3:uid="{9BDCEF89-712C-4BAC-854E-5452D85D51E5}" name="Rank" dataDxfId="12"/>
    <tableColumn id="7" xr3:uid="{52D29294-C158-4DA0-BF52-704FDA868A8D}" name="Subject Grade" dataDxfId="15">
      <calculatedColumnFormula>IF(E5="","F",IF(E5&gt;80,"A",IF(E5&gt;=70,"B",IF(E5&gt;=60,"C",IF(E5&gt;=50,"D","F")))))</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2B594AC-BD91-4FD3-83DA-0ECCA3885C79}" name="Table6" displayName="Table6" ref="B15:G20" totalsRowShown="0" headerRowBorderDxfId="10" tableBorderDxfId="11">
  <autoFilter ref="B15:G20" xr:uid="{C2B594AC-BD91-4FD3-83DA-0ECCA3885C79}"/>
  <tableColumns count="6">
    <tableColumn id="1" xr3:uid="{56CD0A79-9E93-437E-BEAF-3B8BD7363427}" name="FROM ↓  TO →"/>
    <tableColumn id="2" xr3:uid="{46ED353A-0AC7-49DF-843D-29C231881EDF}" name="A" dataDxfId="9">
      <calculatedColumnFormula>IFERROR(C6/H6,0)</calculatedColumnFormula>
    </tableColumn>
    <tableColumn id="3" xr3:uid="{23B9A308-5D60-43D0-9315-17CBCB93CAA3}" name="B" dataDxfId="8">
      <calculatedColumnFormula>IFERROR(D6/H6,0)</calculatedColumnFormula>
    </tableColumn>
    <tableColumn id="4" xr3:uid="{0FE7CAE9-8625-463D-91A7-F561086B7F1D}" name="C">
      <calculatedColumnFormula>IFERROR(E6/H6,0)</calculatedColumnFormula>
    </tableColumn>
    <tableColumn id="5" xr3:uid="{DDB90396-A011-42F7-A061-2B8AEEC5A32A}" name="D" dataDxfId="7">
      <calculatedColumnFormula>IFERROR(F6/H6,0)</calculatedColumnFormula>
    </tableColumn>
    <tableColumn id="6" xr3:uid="{10976A3E-BB14-41BF-A6A2-EDAC71B32DB2}" name="F" dataDxfId="6">
      <calculatedColumnFormula>IFERROR(G6/H6,0)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F9CBA1-036B-4E3B-B45D-A491C13F0086}" name="Table1" displayName="Table1" ref="A1:D1048576" totalsRowShown="0">
  <autoFilter ref="A1:D1048576" xr:uid="{7FF9CBA1-036B-4E3B-B45D-A491C13F0086}"/>
  <tableColumns count="4">
    <tableColumn id="1" xr3:uid="{D43AF0DB-A3DE-45AB-A82A-3938E1E67217}" name="Student Name"/>
    <tableColumn id="2" xr3:uid="{8229284A-4CCC-486E-960C-5C5E11F75BBB}" name="Grade"/>
    <tableColumn id="3" xr3:uid="{2FF5DBBD-9596-4CB2-BE91-5BD1B458365D}" name="CT2 Percentage"/>
    <tableColumn id="4" xr3:uid="{B097C477-1999-4250-B852-0A8E1EACD756}" name="CT2 Grad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9B2791-4F04-4CD8-84E0-0AEF6FAB16E0}" name="Table2" displayName="Table2" ref="F1:H6" totalsRowShown="0">
  <autoFilter ref="F1:H6" xr:uid="{E09B2791-4F04-4CD8-84E0-0AEF6FAB16E0}"/>
  <tableColumns count="3">
    <tableColumn id="1" xr3:uid="{508B2FEF-9FB0-4BF1-A3C9-C9D6F7D90B94}" name="Column1"/>
    <tableColumn id="2" xr3:uid="{8A9E2C2E-165E-4417-82CF-80EF56C43F8A}" name="Count"/>
    <tableColumn id="3" xr3:uid="{FBF65295-2F99-4A5C-824D-C6924154B0C9}" name="%" dataCellStyle="Perc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A6268F-5CAC-4F8C-8F21-716EFA75ECF0}" name="Table3" displayName="Table3" ref="N8:P13" totalsRowShown="0">
  <autoFilter ref="N8:P13" xr:uid="{79A6268F-5CAC-4F8C-8F21-716EFA75ECF0}"/>
  <tableColumns count="3">
    <tableColumn id="1" xr3:uid="{3F48275A-19BF-4A87-AE75-BDEAE9F8A6DE}" name="Final Grade  "/>
    <tableColumn id="2" xr3:uid="{B7279CB5-479D-4DF1-A3DA-370F761A7CD5}" name="Predicted Probability"/>
    <tableColumn id="3" xr3:uid="{E6B41C44-DE1D-47C1-9CAE-406D719A759E}" name="Projected Student cou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809526-38D3-457C-AC9E-362D395EA2FC}" name="Table8" displayName="Table8" ref="F21:H26" totalsRowShown="0" headerRowDxfId="0" headerRowBorderDxfId="4" tableBorderDxfId="5" totalsRowBorderDxfId="3">
  <autoFilter ref="F21:H26" xr:uid="{E2809526-38D3-457C-AC9E-362D395EA2FC}"/>
  <tableColumns count="3">
    <tableColumn id="1" xr3:uid="{E52A8693-D131-481B-BBCE-8D95D958B6AA}" name="Grade" dataDxfId="2"/>
    <tableColumn id="2" xr3:uid="{68829D13-C6BB-4C1A-ADD6-014E72BB3D5E}" name="Midterm Count (Actual)" dataDxfId="1"/>
    <tableColumn id="3" xr3:uid="{59314DD6-B94D-464F-A3A4-B14C37755B6B}" name="Final (Predic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 Id="rId5" Type="http://schemas.openxmlformats.org/officeDocument/2006/relationships/table" Target="../tables/table7.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0"/>
  <sheetViews>
    <sheetView showGridLines="0" topLeftCell="A5" zoomScaleNormal="100" workbookViewId="0">
      <selection activeCell="B17" sqref="B17"/>
    </sheetView>
  </sheetViews>
  <sheetFormatPr defaultColWidth="8.6328125" defaultRowHeight="14.5" x14ac:dyDescent="0.35"/>
  <cols>
    <col min="1" max="1" width="3" customWidth="1"/>
    <col min="2" max="2" width="28" customWidth="1"/>
    <col min="3" max="3" width="58" customWidth="1"/>
    <col min="4" max="4" width="20" customWidth="1"/>
  </cols>
  <sheetData>
    <row r="1" spans="2:4" ht="31.5" customHeight="1" x14ac:dyDescent="0.35">
      <c r="B1" s="93" t="s">
        <v>0</v>
      </c>
      <c r="C1" s="93"/>
      <c r="D1" s="93"/>
    </row>
    <row r="3" spans="2:4" ht="19.5" customHeight="1" x14ac:dyDescent="0.35">
      <c r="B3" s="2" t="s">
        <v>1</v>
      </c>
      <c r="C3" s="3" t="s">
        <v>2</v>
      </c>
    </row>
    <row r="4" spans="2:4" ht="51.75" customHeight="1" x14ac:dyDescent="0.35">
      <c r="B4" s="4"/>
      <c r="C4" s="92" t="str">
        <f>"Students with HIGH attendance averaged "&amp;TEXT(AVERAGEIF('Raw Data'!$F$3:$F$51,"High (90-100%)",'Raw Data'!$E$3:$E$51),"0.0")&amp;"% overall vs "&amp;TEXT(AVERAGEIF('Raw Data'!$F$3:$F$51,"Low (&lt;75%)",'Raw Data'!$E$3:$E$51),"0.0")&amp;"% for LOW attendance."</f>
        <v>Students with HIGH attendance averaged 65.5% overall vs 58.3% for LOW attendance.</v>
      </c>
      <c r="D4" s="92"/>
    </row>
    <row r="5" spans="2:4" ht="19.5" customHeight="1" x14ac:dyDescent="0.35">
      <c r="B5" s="1" t="s">
        <v>3</v>
      </c>
      <c r="C5" s="3" t="s">
        <v>4</v>
      </c>
    </row>
    <row r="6" spans="2:4" ht="51.75" customHeight="1" x14ac:dyDescent="0.35">
      <c r="B6" s="5"/>
      <c r="C6" s="92" t="str">
        <f>COUNTIF('Raw Data'!$G$3:$G$51,"A")&amp;" students achieved Grade A (&gt;80%). All are in Medium or High attendance groups."</f>
        <v>4 students achieved Grade A (&gt;80%). All are in Medium or High attendance groups.</v>
      </c>
      <c r="D6" s="92"/>
    </row>
    <row r="7" spans="2:4" ht="19.5" customHeight="1" x14ac:dyDescent="0.35">
      <c r="B7" s="6" t="s">
        <v>5</v>
      </c>
      <c r="C7" s="3" t="s">
        <v>6</v>
      </c>
    </row>
    <row r="8" spans="2:4" ht="51.75" customHeight="1" x14ac:dyDescent="0.35">
      <c r="B8" s="7"/>
      <c r="C8" s="92" t="str">
        <f>COUNTIF('Raw Data'!$H$3:$H$51,"YES")&amp;" students flagged YES risk + "&amp;COUNTIF('Raw Data'!$H$3:$H$51,"Academic Risk")&amp;" Academic Risk. Total "&amp;(COUNTIF('Raw Data'!$H$3:$H$51,"YES")+COUNTIF('Raw Data'!$H$3:$H$51,"Academic Risk"))&amp;" students need support."</f>
        <v>8 students flagged YES risk + 14 Academic Risk. Total 22 students need support.</v>
      </c>
      <c r="D8" s="92"/>
    </row>
    <row r="9" spans="2:4" ht="19.5" customHeight="1" x14ac:dyDescent="0.35">
      <c r="B9" s="8" t="s">
        <v>7</v>
      </c>
      <c r="C9" s="3" t="s">
        <v>8</v>
      </c>
    </row>
    <row r="10" spans="2:4" ht="51.75" customHeight="1" x14ac:dyDescent="0.35">
      <c r="B10" s="9"/>
      <c r="C10" s="92" t="str">
        <f>COUNTIF('Raw Data'!$G$3:$G$51,"F")&amp;" students scored Grade F (&lt;50% overall). Immediate academic intervention required."</f>
        <v>8 students scored Grade F (&lt;50% overall). Immediate academic intervention required.</v>
      </c>
      <c r="D10" s="92"/>
    </row>
    <row r="11" spans="2:4" ht="19.5" customHeight="1" x14ac:dyDescent="0.35">
      <c r="B11" s="10" t="s">
        <v>9</v>
      </c>
      <c r="C11" s="3" t="s">
        <v>10</v>
      </c>
    </row>
    <row r="12" spans="2:4" ht="51.75" customHeight="1" x14ac:dyDescent="0.35">
      <c r="B12" s="11"/>
      <c r="C12" s="92" t="s">
        <v>11</v>
      </c>
      <c r="D12" s="92"/>
    </row>
    <row r="13" spans="2:4" ht="19.5" customHeight="1" x14ac:dyDescent="0.35">
      <c r="B13" s="12" t="s">
        <v>12</v>
      </c>
      <c r="C13" s="3" t="s">
        <v>13</v>
      </c>
    </row>
    <row r="14" spans="2:4" ht="51.75" customHeight="1" x14ac:dyDescent="0.35">
      <c r="B14" s="13"/>
      <c r="C14" s="92" t="s">
        <v>14</v>
      </c>
      <c r="D14" s="92"/>
    </row>
    <row r="15" spans="2:4" ht="19.5" customHeight="1" x14ac:dyDescent="0.35">
      <c r="B15" s="1" t="s">
        <v>15</v>
      </c>
      <c r="C15" s="3" t="s">
        <v>16</v>
      </c>
    </row>
    <row r="16" spans="2:4" ht="51.75" customHeight="1" x14ac:dyDescent="0.35">
      <c r="B16" s="5"/>
      <c r="C16" s="92" t="s">
        <v>17</v>
      </c>
      <c r="D16" s="92"/>
    </row>
    <row r="17" spans="2:3" x14ac:dyDescent="0.35">
      <c r="B17" s="72" t="s">
        <v>232</v>
      </c>
      <c r="C17" s="71" t="s">
        <v>233</v>
      </c>
    </row>
    <row r="18" spans="2:3" x14ac:dyDescent="0.35">
      <c r="B18" s="70"/>
      <c r="C18" s="69" t="s">
        <v>234</v>
      </c>
    </row>
    <row r="19" spans="2:3" x14ac:dyDescent="0.35">
      <c r="B19" s="70"/>
      <c r="C19" s="69" t="s">
        <v>235</v>
      </c>
    </row>
    <row r="20" spans="2:3" x14ac:dyDescent="0.35">
      <c r="B20" s="70"/>
      <c r="C20" s="69" t="s">
        <v>236</v>
      </c>
    </row>
  </sheetData>
  <mergeCells count="8">
    <mergeCell ref="C12:D12"/>
    <mergeCell ref="C14:D14"/>
    <mergeCell ref="C16:D16"/>
    <mergeCell ref="B1:D1"/>
    <mergeCell ref="C4:D4"/>
    <mergeCell ref="C6:D6"/>
    <mergeCell ref="C8:D8"/>
    <mergeCell ref="C10:D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Normal="100" workbookViewId="0">
      <pane ySplit="2" topLeftCell="A3" activePane="bottomLeft" state="frozen"/>
      <selection pane="bottomLeft" activeCell="H6" sqref="H6"/>
    </sheetView>
  </sheetViews>
  <sheetFormatPr defaultColWidth="8.6328125" defaultRowHeight="14.5" x14ac:dyDescent="0.35"/>
  <cols>
    <col min="1" max="1" width="24" customWidth="1"/>
    <col min="2" max="2" width="8.08984375" customWidth="1"/>
    <col min="3" max="3" width="14.6328125" customWidth="1"/>
    <col min="4" max="4" width="10" customWidth="1"/>
    <col min="5" max="5" width="12" style="90" customWidth="1"/>
    <col min="6" max="6" width="20" customWidth="1"/>
    <col min="7" max="7" width="10" customWidth="1"/>
    <col min="8" max="8" width="16" customWidth="1"/>
    <col min="9" max="9" width="22" customWidth="1"/>
  </cols>
  <sheetData>
    <row r="1" spans="1:9" ht="30" customHeight="1" x14ac:dyDescent="0.35">
      <c r="A1" s="91" t="s">
        <v>18</v>
      </c>
      <c r="B1" s="91"/>
      <c r="C1" s="91"/>
      <c r="D1" s="91"/>
      <c r="E1" s="91"/>
      <c r="F1" s="91"/>
      <c r="G1" s="91"/>
      <c r="H1" s="91"/>
      <c r="I1" s="91"/>
    </row>
    <row r="2" spans="1:9" ht="25.5" customHeight="1" x14ac:dyDescent="0.35">
      <c r="A2" s="78" t="s">
        <v>19</v>
      </c>
      <c r="B2" s="79" t="s">
        <v>20</v>
      </c>
      <c r="C2" s="79" t="s">
        <v>21</v>
      </c>
      <c r="D2" s="79" t="s">
        <v>22</v>
      </c>
      <c r="E2" s="87" t="s">
        <v>23</v>
      </c>
      <c r="F2" s="79" t="s">
        <v>24</v>
      </c>
      <c r="G2" s="79" t="s">
        <v>240</v>
      </c>
      <c r="H2" s="79" t="s">
        <v>25</v>
      </c>
      <c r="I2" s="80" t="s">
        <v>26</v>
      </c>
    </row>
    <row r="3" spans="1:9" ht="18" customHeight="1" x14ac:dyDescent="0.35">
      <c r="A3" s="74" t="s">
        <v>27</v>
      </c>
      <c r="B3" s="15" t="s">
        <v>28</v>
      </c>
      <c r="C3" s="15">
        <v>90</v>
      </c>
      <c r="D3" s="15">
        <v>80</v>
      </c>
      <c r="E3" s="86">
        <v>76.2</v>
      </c>
      <c r="F3" s="15" t="str">
        <f t="shared" ref="F3:F34" si="0">IF(C3&gt;=90,"High (90-100%)",IF(C3&gt;=75,"Medium (75-89%)","Low (&lt;75%)"))</f>
        <v>High (90-100%)</v>
      </c>
      <c r="G3" s="16" t="str">
        <f t="shared" ref="G3:G34" si="1">IF(E3="","F",IF(E3&gt;80,"A",IF(E3&gt;=70,"B",IF(E3&gt;=60,"C",IF(E3&gt;=50,"D","F")))))</f>
        <v>B</v>
      </c>
      <c r="H3" s="17" t="str">
        <f t="shared" ref="H3:H34" si="2">IF(AND(C3&lt;75,E3&lt;60),"YES",IF(AND(C3&gt;=75,E3&lt;60),"Academic Risk","NO"))</f>
        <v>NO</v>
      </c>
      <c r="I3" s="76" t="str">
        <f t="shared" ref="I3:I34" si="3">IF(AND(C3&gt;=85,E3&lt;55),"High Att / Low Perf",IF(AND(C3&lt;75,E3&gt;=65),"Low Att / High Perf","Normal"))</f>
        <v>Normal</v>
      </c>
    </row>
    <row r="4" spans="1:9" ht="18" customHeight="1" x14ac:dyDescent="0.35">
      <c r="A4" s="75" t="s">
        <v>29</v>
      </c>
      <c r="B4" s="19" t="s">
        <v>28</v>
      </c>
      <c r="C4" s="19">
        <v>88</v>
      </c>
      <c r="D4" s="19">
        <v>84</v>
      </c>
      <c r="E4" s="88">
        <v>75.2</v>
      </c>
      <c r="F4" s="19" t="str">
        <f t="shared" si="0"/>
        <v>Medium (75-89%)</v>
      </c>
      <c r="G4" s="16" t="str">
        <f t="shared" si="1"/>
        <v>B</v>
      </c>
      <c r="H4" s="20" t="str">
        <f t="shared" si="2"/>
        <v>NO</v>
      </c>
      <c r="I4" s="77" t="str">
        <f t="shared" si="3"/>
        <v>Normal</v>
      </c>
    </row>
    <row r="5" spans="1:9" ht="18" customHeight="1" x14ac:dyDescent="0.35">
      <c r="A5" s="74" t="s">
        <v>30</v>
      </c>
      <c r="B5" s="15" t="s">
        <v>28</v>
      </c>
      <c r="C5" s="15">
        <v>78</v>
      </c>
      <c r="D5" s="15">
        <v>35</v>
      </c>
      <c r="E5" s="86">
        <v>50.6</v>
      </c>
      <c r="F5" s="15" t="str">
        <f t="shared" si="0"/>
        <v>Medium (75-89%)</v>
      </c>
      <c r="G5" s="21" t="str">
        <f t="shared" si="1"/>
        <v>D</v>
      </c>
      <c r="H5" s="22" t="str">
        <f t="shared" si="2"/>
        <v>Academic Risk</v>
      </c>
      <c r="I5" s="76" t="str">
        <f t="shared" si="3"/>
        <v>Normal</v>
      </c>
    </row>
    <row r="6" spans="1:9" ht="18" customHeight="1" x14ac:dyDescent="0.35">
      <c r="A6" s="75" t="s">
        <v>31</v>
      </c>
      <c r="B6" s="19" t="s">
        <v>28</v>
      </c>
      <c r="C6" s="19">
        <v>89</v>
      </c>
      <c r="D6" s="19">
        <v>56</v>
      </c>
      <c r="E6" s="88">
        <v>54.9</v>
      </c>
      <c r="F6" s="19" t="str">
        <f t="shared" si="0"/>
        <v>Medium (75-89%)</v>
      </c>
      <c r="G6" s="21" t="str">
        <f t="shared" si="1"/>
        <v>D</v>
      </c>
      <c r="H6" s="22" t="str">
        <f t="shared" si="2"/>
        <v>Academic Risk</v>
      </c>
      <c r="I6" s="77" t="str">
        <f t="shared" si="3"/>
        <v>High Att / Low Perf</v>
      </c>
    </row>
    <row r="7" spans="1:9" ht="18" customHeight="1" x14ac:dyDescent="0.35">
      <c r="A7" s="74" t="s">
        <v>32</v>
      </c>
      <c r="B7" s="15" t="s">
        <v>28</v>
      </c>
      <c r="C7" s="15">
        <v>72</v>
      </c>
      <c r="D7" s="15">
        <v>55</v>
      </c>
      <c r="E7" s="86">
        <v>45.8</v>
      </c>
      <c r="F7" s="15" t="str">
        <f t="shared" si="0"/>
        <v>Low (&lt;75%)</v>
      </c>
      <c r="G7" s="23" t="str">
        <f t="shared" si="1"/>
        <v>F</v>
      </c>
      <c r="H7" s="6" t="str">
        <f t="shared" si="2"/>
        <v>YES</v>
      </c>
      <c r="I7" s="76" t="str">
        <f t="shared" si="3"/>
        <v>Normal</v>
      </c>
    </row>
    <row r="8" spans="1:9" ht="18" customHeight="1" x14ac:dyDescent="0.35">
      <c r="A8" s="75" t="s">
        <v>33</v>
      </c>
      <c r="B8" s="19" t="s">
        <v>28</v>
      </c>
      <c r="C8" s="19">
        <v>70</v>
      </c>
      <c r="D8" s="19">
        <v>61</v>
      </c>
      <c r="E8" s="88">
        <v>66</v>
      </c>
      <c r="F8" s="19" t="str">
        <f t="shared" si="0"/>
        <v>Low (&lt;75%)</v>
      </c>
      <c r="G8" s="24" t="str">
        <f t="shared" si="1"/>
        <v>C</v>
      </c>
      <c r="H8" s="20" t="str">
        <f t="shared" si="2"/>
        <v>NO</v>
      </c>
      <c r="I8" s="77" t="str">
        <f t="shared" si="3"/>
        <v>Low Att / High Perf</v>
      </c>
    </row>
    <row r="9" spans="1:9" ht="18" customHeight="1" x14ac:dyDescent="0.35">
      <c r="A9" s="74" t="s">
        <v>34</v>
      </c>
      <c r="B9" s="15" t="s">
        <v>28</v>
      </c>
      <c r="C9" s="15">
        <v>78</v>
      </c>
      <c r="D9" s="15">
        <v>89</v>
      </c>
      <c r="E9" s="86">
        <v>77.599999999999994</v>
      </c>
      <c r="F9" s="15" t="str">
        <f t="shared" si="0"/>
        <v>Medium (75-89%)</v>
      </c>
      <c r="G9" s="16" t="str">
        <f t="shared" si="1"/>
        <v>B</v>
      </c>
      <c r="H9" s="17" t="str">
        <f t="shared" si="2"/>
        <v>NO</v>
      </c>
      <c r="I9" s="76" t="str">
        <f t="shared" si="3"/>
        <v>Normal</v>
      </c>
    </row>
    <row r="10" spans="1:9" ht="18" customHeight="1" x14ac:dyDescent="0.35">
      <c r="A10" s="75" t="s">
        <v>35</v>
      </c>
      <c r="B10" s="19" t="s">
        <v>28</v>
      </c>
      <c r="C10" s="19">
        <v>83</v>
      </c>
      <c r="D10" s="19">
        <v>67</v>
      </c>
      <c r="E10" s="88">
        <v>48.5</v>
      </c>
      <c r="F10" s="19" t="str">
        <f t="shared" si="0"/>
        <v>Medium (75-89%)</v>
      </c>
      <c r="G10" s="23" t="str">
        <f t="shared" si="1"/>
        <v>F</v>
      </c>
      <c r="H10" s="22" t="str">
        <f t="shared" si="2"/>
        <v>Academic Risk</v>
      </c>
      <c r="I10" s="77" t="str">
        <f t="shared" si="3"/>
        <v>Normal</v>
      </c>
    </row>
    <row r="11" spans="1:9" ht="18" customHeight="1" x14ac:dyDescent="0.35">
      <c r="A11" s="74" t="s">
        <v>36</v>
      </c>
      <c r="B11" s="15" t="s">
        <v>28</v>
      </c>
      <c r="C11" s="15">
        <v>87</v>
      </c>
      <c r="D11" s="15">
        <v>83</v>
      </c>
      <c r="E11" s="86">
        <v>69</v>
      </c>
      <c r="F11" s="15" t="str">
        <f t="shared" si="0"/>
        <v>Medium (75-89%)</v>
      </c>
      <c r="G11" s="24" t="str">
        <f t="shared" si="1"/>
        <v>C</v>
      </c>
      <c r="H11" s="17" t="str">
        <f t="shared" si="2"/>
        <v>NO</v>
      </c>
      <c r="I11" s="76" t="str">
        <f t="shared" si="3"/>
        <v>Normal</v>
      </c>
    </row>
    <row r="12" spans="1:9" ht="18" customHeight="1" x14ac:dyDescent="0.35">
      <c r="A12" s="75" t="s">
        <v>37</v>
      </c>
      <c r="B12" s="19" t="s">
        <v>28</v>
      </c>
      <c r="C12" s="19">
        <v>63</v>
      </c>
      <c r="D12" s="19">
        <v>82</v>
      </c>
      <c r="E12" s="88">
        <v>68.8</v>
      </c>
      <c r="F12" s="19" t="str">
        <f t="shared" si="0"/>
        <v>Low (&lt;75%)</v>
      </c>
      <c r="G12" s="24" t="str">
        <f t="shared" si="1"/>
        <v>C</v>
      </c>
      <c r="H12" s="20" t="str">
        <f t="shared" si="2"/>
        <v>NO</v>
      </c>
      <c r="I12" s="77" t="str">
        <f t="shared" si="3"/>
        <v>Low Att / High Perf</v>
      </c>
    </row>
    <row r="13" spans="1:9" ht="18" customHeight="1" x14ac:dyDescent="0.35">
      <c r="A13" s="74" t="s">
        <v>38</v>
      </c>
      <c r="B13" s="15" t="s">
        <v>28</v>
      </c>
      <c r="C13" s="15">
        <v>80</v>
      </c>
      <c r="D13" s="15">
        <v>56</v>
      </c>
      <c r="E13" s="86">
        <v>64.2</v>
      </c>
      <c r="F13" s="15" t="str">
        <f t="shared" si="0"/>
        <v>Medium (75-89%)</v>
      </c>
      <c r="G13" s="24" t="str">
        <f t="shared" si="1"/>
        <v>C</v>
      </c>
      <c r="H13" s="17" t="str">
        <f t="shared" si="2"/>
        <v>NO</v>
      </c>
      <c r="I13" s="76" t="str">
        <f t="shared" si="3"/>
        <v>Normal</v>
      </c>
    </row>
    <row r="14" spans="1:9" ht="18" customHeight="1" x14ac:dyDescent="0.35">
      <c r="A14" s="75" t="s">
        <v>39</v>
      </c>
      <c r="B14" s="19" t="s">
        <v>28</v>
      </c>
      <c r="C14" s="19">
        <v>68</v>
      </c>
      <c r="D14" s="19">
        <v>35</v>
      </c>
      <c r="E14" s="88">
        <v>39.799999999999997</v>
      </c>
      <c r="F14" s="19" t="str">
        <f t="shared" si="0"/>
        <v>Low (&lt;75%)</v>
      </c>
      <c r="G14" s="23" t="str">
        <f t="shared" si="1"/>
        <v>F</v>
      </c>
      <c r="H14" s="6" t="str">
        <f t="shared" si="2"/>
        <v>YES</v>
      </c>
      <c r="I14" s="77" t="str">
        <f t="shared" si="3"/>
        <v>Normal</v>
      </c>
    </row>
    <row r="15" spans="1:9" ht="18" customHeight="1" x14ac:dyDescent="0.35">
      <c r="A15" s="74" t="s">
        <v>40</v>
      </c>
      <c r="B15" s="15" t="s">
        <v>28</v>
      </c>
      <c r="C15" s="15">
        <v>85</v>
      </c>
      <c r="D15" s="15">
        <v>61</v>
      </c>
      <c r="E15" s="86">
        <v>55.4</v>
      </c>
      <c r="F15" s="15" t="str">
        <f t="shared" si="0"/>
        <v>Medium (75-89%)</v>
      </c>
      <c r="G15" s="21" t="str">
        <f t="shared" si="1"/>
        <v>D</v>
      </c>
      <c r="H15" s="22" t="str">
        <f t="shared" si="2"/>
        <v>Academic Risk</v>
      </c>
      <c r="I15" s="76" t="str">
        <f t="shared" si="3"/>
        <v>Normal</v>
      </c>
    </row>
    <row r="16" spans="1:9" ht="18" customHeight="1" x14ac:dyDescent="0.35">
      <c r="A16" s="75" t="s">
        <v>41</v>
      </c>
      <c r="B16" s="19" t="s">
        <v>28</v>
      </c>
      <c r="C16" s="19">
        <v>79</v>
      </c>
      <c r="D16" s="19">
        <v>46</v>
      </c>
      <c r="E16" s="88">
        <v>51.2</v>
      </c>
      <c r="F16" s="19" t="str">
        <f t="shared" si="0"/>
        <v>Medium (75-89%)</v>
      </c>
      <c r="G16" s="21" t="str">
        <f t="shared" si="1"/>
        <v>D</v>
      </c>
      <c r="H16" s="22" t="str">
        <f t="shared" si="2"/>
        <v>Academic Risk</v>
      </c>
      <c r="I16" s="77" t="str">
        <f t="shared" si="3"/>
        <v>Normal</v>
      </c>
    </row>
    <row r="17" spans="1:9" ht="18" customHeight="1" x14ac:dyDescent="0.35">
      <c r="A17" s="74" t="s">
        <v>42</v>
      </c>
      <c r="B17" s="15" t="s">
        <v>28</v>
      </c>
      <c r="C17" s="15">
        <v>66</v>
      </c>
      <c r="D17" s="15">
        <v>60</v>
      </c>
      <c r="E17" s="86">
        <v>50.6</v>
      </c>
      <c r="F17" s="15" t="str">
        <f t="shared" si="0"/>
        <v>Low (&lt;75%)</v>
      </c>
      <c r="G17" s="21" t="str">
        <f t="shared" si="1"/>
        <v>D</v>
      </c>
      <c r="H17" s="6" t="str">
        <f t="shared" si="2"/>
        <v>YES</v>
      </c>
      <c r="I17" s="76" t="str">
        <f t="shared" si="3"/>
        <v>Normal</v>
      </c>
    </row>
    <row r="18" spans="1:9" ht="18" customHeight="1" x14ac:dyDescent="0.35">
      <c r="A18" s="75" t="s">
        <v>43</v>
      </c>
      <c r="B18" s="19" t="s">
        <v>28</v>
      </c>
      <c r="C18" s="19">
        <v>86</v>
      </c>
      <c r="D18" s="19">
        <v>77</v>
      </c>
      <c r="E18" s="88">
        <v>70.599999999999994</v>
      </c>
      <c r="F18" s="19" t="str">
        <f t="shared" si="0"/>
        <v>Medium (75-89%)</v>
      </c>
      <c r="G18" s="16" t="str">
        <f t="shared" si="1"/>
        <v>B</v>
      </c>
      <c r="H18" s="20" t="str">
        <f t="shared" si="2"/>
        <v>NO</v>
      </c>
      <c r="I18" s="77" t="str">
        <f t="shared" si="3"/>
        <v>Normal</v>
      </c>
    </row>
    <row r="19" spans="1:9" ht="18" customHeight="1" x14ac:dyDescent="0.35">
      <c r="A19" s="74" t="s">
        <v>44</v>
      </c>
      <c r="B19" s="15" t="s">
        <v>45</v>
      </c>
      <c r="C19" s="15">
        <v>63</v>
      </c>
      <c r="D19" s="15">
        <v>84</v>
      </c>
      <c r="E19" s="86">
        <v>67.180000000000007</v>
      </c>
      <c r="F19" s="15" t="str">
        <f t="shared" si="0"/>
        <v>Low (&lt;75%)</v>
      </c>
      <c r="G19" s="24" t="str">
        <f t="shared" si="1"/>
        <v>C</v>
      </c>
      <c r="H19" s="17" t="str">
        <f t="shared" si="2"/>
        <v>NO</v>
      </c>
      <c r="I19" s="76" t="str">
        <f t="shared" si="3"/>
        <v>Low Att / High Perf</v>
      </c>
    </row>
    <row r="20" spans="1:9" ht="18" customHeight="1" x14ac:dyDescent="0.35">
      <c r="A20" s="75" t="s">
        <v>46</v>
      </c>
      <c r="B20" s="19" t="s">
        <v>45</v>
      </c>
      <c r="C20" s="19">
        <v>72</v>
      </c>
      <c r="D20" s="19">
        <v>71</v>
      </c>
      <c r="E20" s="88">
        <v>74.64</v>
      </c>
      <c r="F20" s="19" t="str">
        <f t="shared" si="0"/>
        <v>Low (&lt;75%)</v>
      </c>
      <c r="G20" s="16" t="str">
        <f t="shared" si="1"/>
        <v>B</v>
      </c>
      <c r="H20" s="20" t="str">
        <f t="shared" si="2"/>
        <v>NO</v>
      </c>
      <c r="I20" s="77" t="str">
        <f t="shared" si="3"/>
        <v>Low Att / High Perf</v>
      </c>
    </row>
    <row r="21" spans="1:9" ht="18" customHeight="1" x14ac:dyDescent="0.35">
      <c r="A21" s="74" t="s">
        <v>47</v>
      </c>
      <c r="B21" s="15" t="s">
        <v>45</v>
      </c>
      <c r="C21" s="15">
        <v>73</v>
      </c>
      <c r="D21" s="15">
        <v>70</v>
      </c>
      <c r="E21" s="86">
        <v>57.18</v>
      </c>
      <c r="F21" s="15" t="str">
        <f t="shared" si="0"/>
        <v>Low (&lt;75%)</v>
      </c>
      <c r="G21" s="21" t="str">
        <f t="shared" si="1"/>
        <v>D</v>
      </c>
      <c r="H21" s="6" t="str">
        <f t="shared" si="2"/>
        <v>YES</v>
      </c>
      <c r="I21" s="76" t="str">
        <f t="shared" si="3"/>
        <v>Normal</v>
      </c>
    </row>
    <row r="22" spans="1:9" ht="18" customHeight="1" x14ac:dyDescent="0.35">
      <c r="A22" s="75" t="s">
        <v>48</v>
      </c>
      <c r="B22" s="19" t="s">
        <v>45</v>
      </c>
      <c r="C22" s="19">
        <v>88</v>
      </c>
      <c r="D22" s="19">
        <v>45</v>
      </c>
      <c r="E22" s="88">
        <v>50.09</v>
      </c>
      <c r="F22" s="19" t="str">
        <f t="shared" si="0"/>
        <v>Medium (75-89%)</v>
      </c>
      <c r="G22" s="21" t="str">
        <f t="shared" si="1"/>
        <v>D</v>
      </c>
      <c r="H22" s="22" t="str">
        <f t="shared" si="2"/>
        <v>Academic Risk</v>
      </c>
      <c r="I22" s="77" t="str">
        <f t="shared" si="3"/>
        <v>High Att / Low Perf</v>
      </c>
    </row>
    <row r="23" spans="1:9" ht="18" customHeight="1" x14ac:dyDescent="0.35">
      <c r="A23" s="74" t="s">
        <v>49</v>
      </c>
      <c r="B23" s="15" t="s">
        <v>45</v>
      </c>
      <c r="C23" s="15">
        <v>72</v>
      </c>
      <c r="D23" s="15">
        <v>74</v>
      </c>
      <c r="E23" s="86">
        <v>80.64</v>
      </c>
      <c r="F23" s="15" t="str">
        <f t="shared" si="0"/>
        <v>Low (&lt;75%)</v>
      </c>
      <c r="G23" s="25" t="str">
        <f t="shared" si="1"/>
        <v>A</v>
      </c>
      <c r="H23" s="17" t="str">
        <f t="shared" si="2"/>
        <v>NO</v>
      </c>
      <c r="I23" s="76" t="str">
        <f t="shared" si="3"/>
        <v>Low Att / High Perf</v>
      </c>
    </row>
    <row r="24" spans="1:9" ht="18" customHeight="1" x14ac:dyDescent="0.35">
      <c r="A24" s="75" t="s">
        <v>50</v>
      </c>
      <c r="B24" s="19" t="s">
        <v>45</v>
      </c>
      <c r="C24" s="19">
        <v>80</v>
      </c>
      <c r="D24" s="19">
        <v>60</v>
      </c>
      <c r="E24" s="88">
        <v>40.909999999999997</v>
      </c>
      <c r="F24" s="19" t="str">
        <f t="shared" si="0"/>
        <v>Medium (75-89%)</v>
      </c>
      <c r="G24" s="23" t="str">
        <f t="shared" si="1"/>
        <v>F</v>
      </c>
      <c r="H24" s="22" t="str">
        <f t="shared" si="2"/>
        <v>Academic Risk</v>
      </c>
      <c r="I24" s="77" t="str">
        <f t="shared" si="3"/>
        <v>Normal</v>
      </c>
    </row>
    <row r="25" spans="1:9" ht="18" customHeight="1" x14ac:dyDescent="0.35">
      <c r="A25" s="74" t="s">
        <v>51</v>
      </c>
      <c r="B25" s="15" t="s">
        <v>45</v>
      </c>
      <c r="C25" s="15">
        <v>89</v>
      </c>
      <c r="D25" s="15">
        <v>76</v>
      </c>
      <c r="E25" s="86">
        <v>76.64</v>
      </c>
      <c r="F25" s="15" t="str">
        <f t="shared" si="0"/>
        <v>Medium (75-89%)</v>
      </c>
      <c r="G25" s="16" t="str">
        <f t="shared" si="1"/>
        <v>B</v>
      </c>
      <c r="H25" s="17" t="str">
        <f t="shared" si="2"/>
        <v>NO</v>
      </c>
      <c r="I25" s="76" t="str">
        <f t="shared" si="3"/>
        <v>Normal</v>
      </c>
    </row>
    <row r="26" spans="1:9" ht="18" customHeight="1" x14ac:dyDescent="0.35">
      <c r="A26" s="75" t="s">
        <v>52</v>
      </c>
      <c r="B26" s="19" t="s">
        <v>45</v>
      </c>
      <c r="C26" s="19">
        <v>63</v>
      </c>
      <c r="D26" s="19">
        <v>17</v>
      </c>
      <c r="E26" s="88">
        <v>40.64</v>
      </c>
      <c r="F26" s="19" t="str">
        <f t="shared" si="0"/>
        <v>Low (&lt;75%)</v>
      </c>
      <c r="G26" s="23" t="str">
        <f t="shared" si="1"/>
        <v>F</v>
      </c>
      <c r="H26" s="6" t="str">
        <f t="shared" si="2"/>
        <v>YES</v>
      </c>
      <c r="I26" s="77" t="str">
        <f t="shared" si="3"/>
        <v>Normal</v>
      </c>
    </row>
    <row r="27" spans="1:9" ht="18" customHeight="1" x14ac:dyDescent="0.35">
      <c r="A27" s="74" t="s">
        <v>53</v>
      </c>
      <c r="B27" s="15" t="s">
        <v>45</v>
      </c>
      <c r="C27" s="15">
        <v>60</v>
      </c>
      <c r="D27" s="15">
        <v>44</v>
      </c>
      <c r="E27" s="86">
        <v>43</v>
      </c>
      <c r="F27" s="15" t="str">
        <f t="shared" si="0"/>
        <v>Low (&lt;75%)</v>
      </c>
      <c r="G27" s="23" t="str">
        <f t="shared" si="1"/>
        <v>F</v>
      </c>
      <c r="H27" s="6" t="str">
        <f t="shared" si="2"/>
        <v>YES</v>
      </c>
      <c r="I27" s="76" t="str">
        <f t="shared" si="3"/>
        <v>Normal</v>
      </c>
    </row>
    <row r="28" spans="1:9" ht="18" customHeight="1" x14ac:dyDescent="0.35">
      <c r="A28" s="75" t="s">
        <v>54</v>
      </c>
      <c r="B28" s="19" t="s">
        <v>45</v>
      </c>
      <c r="C28" s="19">
        <v>83</v>
      </c>
      <c r="D28" s="19">
        <v>60</v>
      </c>
      <c r="E28" s="88">
        <v>69.27</v>
      </c>
      <c r="F28" s="19" t="str">
        <f t="shared" si="0"/>
        <v>Medium (75-89%)</v>
      </c>
      <c r="G28" s="24" t="str">
        <f t="shared" si="1"/>
        <v>C</v>
      </c>
      <c r="H28" s="20" t="str">
        <f t="shared" si="2"/>
        <v>NO</v>
      </c>
      <c r="I28" s="77" t="str">
        <f t="shared" si="3"/>
        <v>Normal</v>
      </c>
    </row>
    <row r="29" spans="1:9" ht="18" customHeight="1" x14ac:dyDescent="0.35">
      <c r="A29" s="74" t="s">
        <v>55</v>
      </c>
      <c r="B29" s="15" t="s">
        <v>45</v>
      </c>
      <c r="C29" s="15">
        <v>84</v>
      </c>
      <c r="D29" s="15">
        <v>42</v>
      </c>
      <c r="E29" s="86">
        <v>55.82</v>
      </c>
      <c r="F29" s="15" t="str">
        <f t="shared" si="0"/>
        <v>Medium (75-89%)</v>
      </c>
      <c r="G29" s="21" t="str">
        <f t="shared" si="1"/>
        <v>D</v>
      </c>
      <c r="H29" s="22" t="str">
        <f t="shared" si="2"/>
        <v>Academic Risk</v>
      </c>
      <c r="I29" s="76" t="str">
        <f t="shared" si="3"/>
        <v>Normal</v>
      </c>
    </row>
    <row r="30" spans="1:9" ht="18" customHeight="1" x14ac:dyDescent="0.35">
      <c r="A30" s="75" t="s">
        <v>56</v>
      </c>
      <c r="B30" s="19" t="s">
        <v>45</v>
      </c>
      <c r="C30" s="19">
        <v>73</v>
      </c>
      <c r="D30" s="19">
        <v>45</v>
      </c>
      <c r="E30" s="88">
        <v>60.18</v>
      </c>
      <c r="F30" s="19" t="str">
        <f t="shared" si="0"/>
        <v>Low (&lt;75%)</v>
      </c>
      <c r="G30" s="24" t="str">
        <f t="shared" si="1"/>
        <v>C</v>
      </c>
      <c r="H30" s="20" t="str">
        <f t="shared" si="2"/>
        <v>NO</v>
      </c>
      <c r="I30" s="77" t="str">
        <f t="shared" si="3"/>
        <v>Normal</v>
      </c>
    </row>
    <row r="31" spans="1:9" ht="18" customHeight="1" x14ac:dyDescent="0.35">
      <c r="A31" s="74" t="s">
        <v>57</v>
      </c>
      <c r="B31" s="15" t="s">
        <v>45</v>
      </c>
      <c r="C31" s="15">
        <v>70</v>
      </c>
      <c r="D31" s="15">
        <v>49</v>
      </c>
      <c r="E31" s="86">
        <v>60.45</v>
      </c>
      <c r="F31" s="15" t="str">
        <f t="shared" si="0"/>
        <v>Low (&lt;75%)</v>
      </c>
      <c r="G31" s="24" t="str">
        <f t="shared" si="1"/>
        <v>C</v>
      </c>
      <c r="H31" s="17" t="str">
        <f t="shared" si="2"/>
        <v>NO</v>
      </c>
      <c r="I31" s="76" t="str">
        <f t="shared" si="3"/>
        <v>Normal</v>
      </c>
    </row>
    <row r="32" spans="1:9" ht="18" customHeight="1" x14ac:dyDescent="0.35">
      <c r="A32" s="75" t="s">
        <v>58</v>
      </c>
      <c r="B32" s="19" t="s">
        <v>45</v>
      </c>
      <c r="C32" s="19">
        <v>66</v>
      </c>
      <c r="D32" s="19">
        <v>6</v>
      </c>
      <c r="E32" s="88">
        <v>41.18</v>
      </c>
      <c r="F32" s="19" t="str">
        <f t="shared" si="0"/>
        <v>Low (&lt;75%)</v>
      </c>
      <c r="G32" s="23" t="str">
        <f t="shared" si="1"/>
        <v>F</v>
      </c>
      <c r="H32" s="6" t="str">
        <f t="shared" si="2"/>
        <v>YES</v>
      </c>
      <c r="I32" s="77" t="str">
        <f t="shared" si="3"/>
        <v>Normal</v>
      </c>
    </row>
    <row r="33" spans="1:9" ht="18" customHeight="1" x14ac:dyDescent="0.35">
      <c r="A33" s="74" t="s">
        <v>59</v>
      </c>
      <c r="B33" s="15" t="s">
        <v>60</v>
      </c>
      <c r="C33" s="15">
        <v>89</v>
      </c>
      <c r="D33" s="15">
        <v>86</v>
      </c>
      <c r="E33" s="86">
        <v>80.5</v>
      </c>
      <c r="F33" s="15" t="str">
        <f t="shared" si="0"/>
        <v>Medium (75-89%)</v>
      </c>
      <c r="G33" s="25" t="str">
        <f t="shared" si="1"/>
        <v>A</v>
      </c>
      <c r="H33" s="17" t="str">
        <f t="shared" si="2"/>
        <v>NO</v>
      </c>
      <c r="I33" s="76" t="str">
        <f t="shared" si="3"/>
        <v>Normal</v>
      </c>
    </row>
    <row r="34" spans="1:9" ht="18" customHeight="1" x14ac:dyDescent="0.35">
      <c r="A34" s="75" t="s">
        <v>61</v>
      </c>
      <c r="B34" s="19" t="s">
        <v>60</v>
      </c>
      <c r="C34" s="19">
        <v>81</v>
      </c>
      <c r="D34" s="19">
        <v>66</v>
      </c>
      <c r="E34" s="88">
        <v>63.9</v>
      </c>
      <c r="F34" s="19" t="str">
        <f t="shared" si="0"/>
        <v>Medium (75-89%)</v>
      </c>
      <c r="G34" s="24" t="str">
        <f t="shared" si="1"/>
        <v>C</v>
      </c>
      <c r="H34" s="20" t="str">
        <f t="shared" si="2"/>
        <v>NO</v>
      </c>
      <c r="I34" s="77" t="str">
        <f t="shared" si="3"/>
        <v>Normal</v>
      </c>
    </row>
    <row r="35" spans="1:9" ht="18" customHeight="1" x14ac:dyDescent="0.35">
      <c r="A35" s="74" t="s">
        <v>62</v>
      </c>
      <c r="B35" s="15" t="s">
        <v>60</v>
      </c>
      <c r="C35" s="15">
        <v>85</v>
      </c>
      <c r="D35" s="15">
        <v>76</v>
      </c>
      <c r="E35" s="86">
        <v>70</v>
      </c>
      <c r="F35" s="15" t="str">
        <f t="shared" ref="F35:F51" si="4">IF(C35&gt;=90,"High (90-100%)",IF(C35&gt;=75,"Medium (75-89%)","Low (&lt;75%)"))</f>
        <v>Medium (75-89%)</v>
      </c>
      <c r="G35" s="16" t="str">
        <f t="shared" ref="G35:G51" si="5">IF(E35="","F",IF(E35&gt;80,"A",IF(E35&gt;=70,"B",IF(E35&gt;=60,"C",IF(E35&gt;=50,"D","F")))))</f>
        <v>B</v>
      </c>
      <c r="H35" s="17" t="str">
        <f t="shared" ref="H35:H51" si="6">IF(AND(C35&lt;75,E35&lt;60),"YES",IF(AND(C35&gt;=75,E35&lt;60),"Academic Risk","NO"))</f>
        <v>NO</v>
      </c>
      <c r="I35" s="76" t="str">
        <f t="shared" ref="I35:I51" si="7">IF(AND(C35&gt;=85,E35&lt;55),"High Att / Low Perf",IF(AND(C35&lt;75,E35&gt;=65),"Low Att / High Perf","Normal"))</f>
        <v>Normal</v>
      </c>
    </row>
    <row r="36" spans="1:9" ht="18" customHeight="1" x14ac:dyDescent="0.35">
      <c r="A36" s="75" t="s">
        <v>63</v>
      </c>
      <c r="B36" s="19" t="s">
        <v>60</v>
      </c>
      <c r="C36" s="19">
        <v>80</v>
      </c>
      <c r="D36" s="19">
        <v>70</v>
      </c>
      <c r="E36" s="88">
        <v>67.5</v>
      </c>
      <c r="F36" s="19" t="str">
        <f t="shared" si="4"/>
        <v>Medium (75-89%)</v>
      </c>
      <c r="G36" s="24" t="str">
        <f t="shared" si="5"/>
        <v>C</v>
      </c>
      <c r="H36" s="20" t="str">
        <f t="shared" si="6"/>
        <v>NO</v>
      </c>
      <c r="I36" s="77" t="str">
        <f t="shared" si="7"/>
        <v>Normal</v>
      </c>
    </row>
    <row r="37" spans="1:9" ht="18" customHeight="1" x14ac:dyDescent="0.35">
      <c r="A37" s="74" t="s">
        <v>64</v>
      </c>
      <c r="B37" s="15" t="s">
        <v>60</v>
      </c>
      <c r="C37" s="15">
        <v>96</v>
      </c>
      <c r="D37" s="15">
        <v>68</v>
      </c>
      <c r="E37" s="86">
        <v>69.599999999999994</v>
      </c>
      <c r="F37" s="15" t="str">
        <f t="shared" si="4"/>
        <v>High (90-100%)</v>
      </c>
      <c r="G37" s="24" t="str">
        <f t="shared" si="5"/>
        <v>C</v>
      </c>
      <c r="H37" s="17" t="str">
        <f t="shared" si="6"/>
        <v>NO</v>
      </c>
      <c r="I37" s="76" t="str">
        <f t="shared" si="7"/>
        <v>Normal</v>
      </c>
    </row>
    <row r="38" spans="1:9" ht="18" customHeight="1" x14ac:dyDescent="0.35">
      <c r="A38" s="75" t="s">
        <v>65</v>
      </c>
      <c r="B38" s="19" t="s">
        <v>60</v>
      </c>
      <c r="C38" s="19">
        <v>83</v>
      </c>
      <c r="D38" s="19">
        <v>85</v>
      </c>
      <c r="E38" s="88">
        <v>83.1</v>
      </c>
      <c r="F38" s="19" t="str">
        <f t="shared" si="4"/>
        <v>Medium (75-89%)</v>
      </c>
      <c r="G38" s="25" t="str">
        <f t="shared" si="5"/>
        <v>A</v>
      </c>
      <c r="H38" s="20" t="str">
        <f t="shared" si="6"/>
        <v>NO</v>
      </c>
      <c r="I38" s="77" t="str">
        <f t="shared" si="7"/>
        <v>Normal</v>
      </c>
    </row>
    <row r="39" spans="1:9" ht="18" customHeight="1" x14ac:dyDescent="0.35">
      <c r="A39" s="74" t="s">
        <v>66</v>
      </c>
      <c r="B39" s="15" t="s">
        <v>60</v>
      </c>
      <c r="C39" s="15">
        <v>96</v>
      </c>
      <c r="D39" s="15">
        <v>88</v>
      </c>
      <c r="E39" s="86">
        <v>79.5</v>
      </c>
      <c r="F39" s="15" t="str">
        <f t="shared" si="4"/>
        <v>High (90-100%)</v>
      </c>
      <c r="G39" s="16" t="str">
        <f t="shared" si="5"/>
        <v>B</v>
      </c>
      <c r="H39" s="17" t="str">
        <f t="shared" si="6"/>
        <v>NO</v>
      </c>
      <c r="I39" s="76" t="str">
        <f t="shared" si="7"/>
        <v>Normal</v>
      </c>
    </row>
    <row r="40" spans="1:9" ht="18" customHeight="1" x14ac:dyDescent="0.35">
      <c r="A40" s="75" t="s">
        <v>67</v>
      </c>
      <c r="B40" s="19" t="s">
        <v>60</v>
      </c>
      <c r="C40" s="19">
        <v>83</v>
      </c>
      <c r="D40" s="19">
        <v>63</v>
      </c>
      <c r="E40" s="88">
        <v>57.2</v>
      </c>
      <c r="F40" s="19" t="str">
        <f t="shared" si="4"/>
        <v>Medium (75-89%)</v>
      </c>
      <c r="G40" s="21" t="str">
        <f t="shared" si="5"/>
        <v>D</v>
      </c>
      <c r="H40" s="22" t="str">
        <f t="shared" si="6"/>
        <v>Academic Risk</v>
      </c>
      <c r="I40" s="77" t="str">
        <f t="shared" si="7"/>
        <v>Normal</v>
      </c>
    </row>
    <row r="41" spans="1:9" ht="18" customHeight="1" x14ac:dyDescent="0.35">
      <c r="A41" s="74" t="s">
        <v>68</v>
      </c>
      <c r="B41" s="15" t="s">
        <v>60</v>
      </c>
      <c r="C41" s="15">
        <v>88</v>
      </c>
      <c r="D41" s="15">
        <v>81</v>
      </c>
      <c r="E41" s="86">
        <v>66.599999999999994</v>
      </c>
      <c r="F41" s="15" t="str">
        <f t="shared" si="4"/>
        <v>Medium (75-89%)</v>
      </c>
      <c r="G41" s="24" t="str">
        <f t="shared" si="5"/>
        <v>C</v>
      </c>
      <c r="H41" s="17" t="str">
        <f t="shared" si="6"/>
        <v>NO</v>
      </c>
      <c r="I41" s="76" t="str">
        <f t="shared" si="7"/>
        <v>Normal</v>
      </c>
    </row>
    <row r="42" spans="1:9" ht="18" customHeight="1" x14ac:dyDescent="0.35">
      <c r="A42" s="75" t="s">
        <v>69</v>
      </c>
      <c r="B42" s="19" t="s">
        <v>60</v>
      </c>
      <c r="C42" s="19">
        <v>89</v>
      </c>
      <c r="D42" s="19">
        <v>39</v>
      </c>
      <c r="E42" s="88">
        <v>56</v>
      </c>
      <c r="F42" s="19" t="str">
        <f t="shared" si="4"/>
        <v>Medium (75-89%)</v>
      </c>
      <c r="G42" s="21" t="str">
        <f t="shared" si="5"/>
        <v>D</v>
      </c>
      <c r="H42" s="22" t="str">
        <f t="shared" si="6"/>
        <v>Academic Risk</v>
      </c>
      <c r="I42" s="77" t="str">
        <f t="shared" si="7"/>
        <v>Normal</v>
      </c>
    </row>
    <row r="43" spans="1:9" ht="18" customHeight="1" x14ac:dyDescent="0.35">
      <c r="A43" s="74" t="s">
        <v>70</v>
      </c>
      <c r="B43" s="15" t="s">
        <v>60</v>
      </c>
      <c r="C43" s="15">
        <v>74</v>
      </c>
      <c r="D43" s="15">
        <v>48</v>
      </c>
      <c r="E43" s="86">
        <v>66.2</v>
      </c>
      <c r="F43" s="15" t="str">
        <f t="shared" si="4"/>
        <v>Low (&lt;75%)</v>
      </c>
      <c r="G43" s="24" t="str">
        <f t="shared" si="5"/>
        <v>C</v>
      </c>
      <c r="H43" s="17" t="str">
        <f t="shared" si="6"/>
        <v>NO</v>
      </c>
      <c r="I43" s="76" t="str">
        <f t="shared" si="7"/>
        <v>Low Att / High Perf</v>
      </c>
    </row>
    <row r="44" spans="1:9" ht="18" customHeight="1" x14ac:dyDescent="0.35">
      <c r="A44" s="75" t="s">
        <v>71</v>
      </c>
      <c r="B44" s="19" t="s">
        <v>60</v>
      </c>
      <c r="C44" s="19">
        <v>81</v>
      </c>
      <c r="D44" s="19">
        <v>59</v>
      </c>
      <c r="E44" s="88">
        <v>59.1</v>
      </c>
      <c r="F44" s="19" t="str">
        <f t="shared" si="4"/>
        <v>Medium (75-89%)</v>
      </c>
      <c r="G44" s="21" t="str">
        <f t="shared" si="5"/>
        <v>D</v>
      </c>
      <c r="H44" s="22" t="str">
        <f t="shared" si="6"/>
        <v>Academic Risk</v>
      </c>
      <c r="I44" s="77" t="str">
        <f t="shared" si="7"/>
        <v>Normal</v>
      </c>
    </row>
    <row r="45" spans="1:9" ht="18" customHeight="1" x14ac:dyDescent="0.35">
      <c r="A45" s="74" t="s">
        <v>72</v>
      </c>
      <c r="B45" s="15" t="s">
        <v>60</v>
      </c>
      <c r="C45" s="15">
        <v>67</v>
      </c>
      <c r="D45" s="15">
        <v>70</v>
      </c>
      <c r="E45" s="86">
        <v>69.3</v>
      </c>
      <c r="F45" s="15" t="str">
        <f t="shared" si="4"/>
        <v>Low (&lt;75%)</v>
      </c>
      <c r="G45" s="24" t="str">
        <f t="shared" si="5"/>
        <v>C</v>
      </c>
      <c r="H45" s="17" t="str">
        <f t="shared" si="6"/>
        <v>NO</v>
      </c>
      <c r="I45" s="76" t="str">
        <f t="shared" si="7"/>
        <v>Low Att / High Perf</v>
      </c>
    </row>
    <row r="46" spans="1:9" ht="18" customHeight="1" x14ac:dyDescent="0.35">
      <c r="A46" s="75" t="s">
        <v>73</v>
      </c>
      <c r="B46" s="19" t="s">
        <v>60</v>
      </c>
      <c r="C46" s="19">
        <v>75</v>
      </c>
      <c r="D46" s="19">
        <v>62</v>
      </c>
      <c r="E46" s="88">
        <v>75.900000000000006</v>
      </c>
      <c r="F46" s="19" t="str">
        <f t="shared" si="4"/>
        <v>Medium (75-89%)</v>
      </c>
      <c r="G46" s="16" t="str">
        <f t="shared" si="5"/>
        <v>B</v>
      </c>
      <c r="H46" s="20" t="str">
        <f t="shared" si="6"/>
        <v>NO</v>
      </c>
      <c r="I46" s="77" t="str">
        <f t="shared" si="7"/>
        <v>Normal</v>
      </c>
    </row>
    <row r="47" spans="1:9" ht="18" customHeight="1" x14ac:dyDescent="0.35">
      <c r="A47" s="74" t="s">
        <v>74</v>
      </c>
      <c r="B47" s="15" t="s">
        <v>60</v>
      </c>
      <c r="C47" s="15">
        <v>62</v>
      </c>
      <c r="D47" s="15">
        <v>38</v>
      </c>
      <c r="E47" s="86">
        <v>59.1</v>
      </c>
      <c r="F47" s="15" t="str">
        <f t="shared" si="4"/>
        <v>Low (&lt;75%)</v>
      </c>
      <c r="G47" s="21" t="str">
        <f t="shared" si="5"/>
        <v>D</v>
      </c>
      <c r="H47" s="6" t="str">
        <f t="shared" si="6"/>
        <v>YES</v>
      </c>
      <c r="I47" s="76" t="str">
        <f t="shared" si="7"/>
        <v>Normal</v>
      </c>
    </row>
    <row r="48" spans="1:9" ht="18" customHeight="1" x14ac:dyDescent="0.35">
      <c r="A48" s="75" t="s">
        <v>75</v>
      </c>
      <c r="B48" s="19" t="s">
        <v>60</v>
      </c>
      <c r="C48" s="19">
        <v>100</v>
      </c>
      <c r="D48" s="19">
        <v>36</v>
      </c>
      <c r="E48" s="88">
        <v>50.7</v>
      </c>
      <c r="F48" s="19" t="str">
        <f t="shared" si="4"/>
        <v>High (90-100%)</v>
      </c>
      <c r="G48" s="21" t="str">
        <f t="shared" si="5"/>
        <v>D</v>
      </c>
      <c r="H48" s="22" t="str">
        <f t="shared" si="6"/>
        <v>Academic Risk</v>
      </c>
      <c r="I48" s="77" t="str">
        <f t="shared" si="7"/>
        <v>High Att / Low Perf</v>
      </c>
    </row>
    <row r="49" spans="1:9" ht="18" customHeight="1" x14ac:dyDescent="0.35">
      <c r="A49" s="74" t="s">
        <v>76</v>
      </c>
      <c r="B49" s="15" t="s">
        <v>60</v>
      </c>
      <c r="C49" s="15">
        <v>86</v>
      </c>
      <c r="D49" s="15">
        <v>69</v>
      </c>
      <c r="E49" s="86">
        <v>81.3</v>
      </c>
      <c r="F49" s="15" t="str">
        <f t="shared" si="4"/>
        <v>Medium (75-89%)</v>
      </c>
      <c r="G49" s="25" t="str">
        <f t="shared" si="5"/>
        <v>A</v>
      </c>
      <c r="H49" s="17" t="str">
        <f t="shared" si="6"/>
        <v>NO</v>
      </c>
      <c r="I49" s="76" t="str">
        <f t="shared" si="7"/>
        <v>Normal</v>
      </c>
    </row>
    <row r="50" spans="1:9" ht="18" customHeight="1" x14ac:dyDescent="0.35">
      <c r="A50" s="75" t="s">
        <v>77</v>
      </c>
      <c r="B50" s="19" t="s">
        <v>60</v>
      </c>
      <c r="C50" s="19">
        <v>93</v>
      </c>
      <c r="D50" s="19">
        <v>56</v>
      </c>
      <c r="E50" s="88">
        <v>51.4</v>
      </c>
      <c r="F50" s="19" t="str">
        <f t="shared" si="4"/>
        <v>High (90-100%)</v>
      </c>
      <c r="G50" s="21" t="str">
        <f t="shared" si="5"/>
        <v>D</v>
      </c>
      <c r="H50" s="22" t="str">
        <f t="shared" si="6"/>
        <v>Academic Risk</v>
      </c>
      <c r="I50" s="77" t="str">
        <f t="shared" si="7"/>
        <v>High Att / Low Perf</v>
      </c>
    </row>
    <row r="51" spans="1:9" ht="18" customHeight="1" x14ac:dyDescent="0.35">
      <c r="A51" s="81" t="s">
        <v>78</v>
      </c>
      <c r="B51" s="82" t="s">
        <v>60</v>
      </c>
      <c r="C51" s="82">
        <v>75</v>
      </c>
      <c r="D51" s="82">
        <v>21</v>
      </c>
      <c r="E51" s="89">
        <v>34.700000000000003</v>
      </c>
      <c r="F51" s="82" t="str">
        <f t="shared" si="4"/>
        <v>Medium (75-89%)</v>
      </c>
      <c r="G51" s="83" t="str">
        <f t="shared" si="5"/>
        <v>F</v>
      </c>
      <c r="H51" s="84" t="str">
        <f t="shared" si="6"/>
        <v>Academic Risk</v>
      </c>
      <c r="I51" s="85" t="str">
        <f t="shared" si="7"/>
        <v>Normal</v>
      </c>
    </row>
  </sheetData>
  <mergeCells count="1">
    <mergeCell ref="A1:I1"/>
  </mergeCell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showGridLines="0" zoomScaleNormal="100" workbookViewId="0">
      <selection activeCell="C34" sqref="C34"/>
    </sheetView>
  </sheetViews>
  <sheetFormatPr defaultColWidth="8.6328125" defaultRowHeight="14.5" x14ac:dyDescent="0.35"/>
  <cols>
    <col min="1" max="1" width="22" customWidth="1"/>
    <col min="2" max="2" width="12" customWidth="1"/>
    <col min="3" max="3" width="18" customWidth="1"/>
    <col min="4" max="4" width="14" customWidth="1"/>
    <col min="5" max="6" width="16" customWidth="1"/>
    <col min="7" max="7" width="14" customWidth="1"/>
  </cols>
  <sheetData>
    <row r="1" spans="1:7" ht="27.75" customHeight="1" x14ac:dyDescent="0.35">
      <c r="A1" s="91" t="s">
        <v>79</v>
      </c>
      <c r="B1" s="91"/>
      <c r="C1" s="91"/>
      <c r="D1" s="91"/>
      <c r="E1" s="91"/>
      <c r="F1" s="91"/>
      <c r="G1" s="91"/>
    </row>
    <row r="3" spans="1:7" ht="21.75" customHeight="1" x14ac:dyDescent="0.35">
      <c r="A3" s="94" t="s">
        <v>80</v>
      </c>
      <c r="B3" s="94"/>
      <c r="C3" s="94"/>
      <c r="D3" s="94"/>
      <c r="E3" s="94"/>
      <c r="F3" s="94"/>
      <c r="G3" s="94"/>
    </row>
    <row r="4" spans="1:7" ht="15" customHeight="1" x14ac:dyDescent="0.35">
      <c r="A4" s="1" t="s">
        <v>24</v>
      </c>
      <c r="B4" s="1" t="s">
        <v>81</v>
      </c>
      <c r="C4" s="1" t="s">
        <v>82</v>
      </c>
      <c r="D4" s="1" t="s">
        <v>83</v>
      </c>
      <c r="E4" s="1" t="s">
        <v>84</v>
      </c>
      <c r="F4" s="1" t="s">
        <v>85</v>
      </c>
      <c r="G4" s="1" t="s">
        <v>86</v>
      </c>
    </row>
    <row r="5" spans="1:7" ht="24" customHeight="1" x14ac:dyDescent="0.35">
      <c r="A5" s="25" t="s">
        <v>87</v>
      </c>
      <c r="B5" s="15">
        <f>COUNTIF('Raw Data'!$F$3:$F$51,"High (90-100%)")</f>
        <v>5</v>
      </c>
      <c r="C5" s="26">
        <f>AVERAGEIF('Raw Data'!$F$3:$F$51,"High (90-100%)",'Raw Data'!$C$3:$C$51)</f>
        <v>95</v>
      </c>
      <c r="D5" s="26">
        <f>AVERAGEIF('Raw Data'!$F$3:$F$51,"High (90-100%)",'Raw Data'!$D$3:$D$51)</f>
        <v>65.599999999999994</v>
      </c>
      <c r="E5" s="26">
        <f>AVERAGEIF('Raw Data'!$F$3:$F$51,"High (90-100%)",'Raw Data'!$E$3:$E$51)</f>
        <v>65.47999999999999</v>
      </c>
      <c r="F5" s="26">
        <f>MAX(IF('Raw Data'!$F$3:$F$51="High (90-100%)",'Raw Data'!$E$3:$E$51))</f>
        <v>0</v>
      </c>
      <c r="G5" s="26">
        <f>MIN(IF('Raw Data'!$F$3:$F$51="High (90-100%)",'Raw Data'!$E$3:$E$51))</f>
        <v>0</v>
      </c>
    </row>
    <row r="6" spans="1:7" ht="24" customHeight="1" x14ac:dyDescent="0.35">
      <c r="A6" s="16" t="s">
        <v>88</v>
      </c>
      <c r="B6" s="15">
        <f>COUNTIF('Raw Data'!$F$3:$F$51,"Medium (75-89%)")</f>
        <v>27</v>
      </c>
      <c r="C6" s="26">
        <f>AVERAGEIF('Raw Data'!$F$3:$F$51,"Medium (75-89%)",'Raw Data'!$C$3:$C$51)</f>
        <v>83.407407407407405</v>
      </c>
      <c r="D6" s="26">
        <f>AVERAGEIF('Raw Data'!$F$3:$F$51,"Medium (75-89%)",'Raw Data'!$D$3:$D$51)</f>
        <v>63.481481481481481</v>
      </c>
      <c r="E6" s="26">
        <f>AVERAGEIF('Raw Data'!$F$3:$F$51,"Medium (75-89%)",'Raw Data'!$E$3:$E$51)</f>
        <v>63.175185185185185</v>
      </c>
      <c r="F6" s="26">
        <f>MAX(IF('Raw Data'!$F$3:$F$51="Medium (75-89%)",'Raw Data'!$E$3:$E$51))</f>
        <v>83.1</v>
      </c>
      <c r="G6" s="26">
        <f>MIN(IF('Raw Data'!$F$3:$F$51="Medium (75-89%)",'Raw Data'!$E$3:$E$51))</f>
        <v>34.700000000000003</v>
      </c>
    </row>
    <row r="7" spans="1:7" ht="24" customHeight="1" x14ac:dyDescent="0.35">
      <c r="A7" s="6" t="s">
        <v>89</v>
      </c>
      <c r="B7" s="15">
        <f>COUNTIF('Raw Data'!$F$3:$F$51,"Low (&lt;75%)")</f>
        <v>17</v>
      </c>
      <c r="C7" s="26">
        <f>AVERAGEIF('Raw Data'!$F$3:$F$51,"Low (&lt;75%)",'Raw Data'!$C$3:$C$51)</f>
        <v>67.882352941176464</v>
      </c>
      <c r="D7" s="26">
        <f>AVERAGEIF('Raw Data'!$F$3:$F$51,"Low (&lt;75%)",'Raw Data'!$D$3:$D$51)</f>
        <v>53.470588235294116</v>
      </c>
      <c r="E7" s="26">
        <f>AVERAGEIF('Raw Data'!$F$3:$F$51,"Low (&lt;75%)",'Raw Data'!$E$3:$E$51)</f>
        <v>58.275882352941174</v>
      </c>
      <c r="F7" s="26">
        <f>MAX(IF('Raw Data'!$F$3:$F$51="Low (&lt;75%)",'Raw Data'!$E$3:$E$51))</f>
        <v>83.1</v>
      </c>
      <c r="G7" s="26">
        <f>MIN(IF('Raw Data'!$F$3:$F$51="Low (&lt;75%)",'Raw Data'!$E$3:$E$51))</f>
        <v>34.700000000000003</v>
      </c>
    </row>
    <row r="8" spans="1:7" ht="21.75" customHeight="1" x14ac:dyDescent="0.35">
      <c r="A8" s="95" t="s">
        <v>90</v>
      </c>
      <c r="B8" s="95"/>
      <c r="C8" s="95"/>
      <c r="D8" s="95"/>
      <c r="E8" s="95"/>
      <c r="F8" s="95"/>
      <c r="G8" s="95"/>
    </row>
    <row r="9" spans="1:7" ht="15" customHeight="1" x14ac:dyDescent="0.35">
      <c r="A9" s="96" t="s">
        <v>91</v>
      </c>
      <c r="B9" s="96"/>
      <c r="C9" s="96"/>
      <c r="D9" s="96"/>
      <c r="E9" s="96"/>
      <c r="F9" s="96"/>
      <c r="G9" s="96"/>
    </row>
    <row r="10" spans="1:7" ht="15" customHeight="1" x14ac:dyDescent="0.35">
      <c r="A10" s="6" t="s">
        <v>19</v>
      </c>
      <c r="B10" s="6" t="s">
        <v>20</v>
      </c>
      <c r="C10" s="6" t="s">
        <v>21</v>
      </c>
      <c r="D10" s="6" t="s">
        <v>23</v>
      </c>
      <c r="E10" s="6" t="s">
        <v>22</v>
      </c>
      <c r="F10" s="6" t="s">
        <v>20</v>
      </c>
      <c r="G10" s="6"/>
    </row>
    <row r="11" spans="1:7" ht="18" customHeight="1" x14ac:dyDescent="0.35">
      <c r="A11" s="15" t="s">
        <v>32</v>
      </c>
      <c r="B11" s="15" t="s">
        <v>28</v>
      </c>
      <c r="C11" s="15">
        <v>72</v>
      </c>
      <c r="D11" s="15">
        <v>45.8</v>
      </c>
      <c r="E11" s="15">
        <v>55</v>
      </c>
      <c r="F11" s="23" t="str">
        <f t="shared" ref="F11:F18" si="0">IF(D11="","F",IF(D11&gt;80,"A",IF(D11&gt;=70,"B",IF(D11&gt;=60,"C",IF(D11&gt;=50,"D","F")))))</f>
        <v>F</v>
      </c>
      <c r="G11" s="15"/>
    </row>
    <row r="12" spans="1:7" ht="18" customHeight="1" x14ac:dyDescent="0.35">
      <c r="A12" s="27" t="s">
        <v>39</v>
      </c>
      <c r="B12" s="27" t="s">
        <v>28</v>
      </c>
      <c r="C12" s="27">
        <v>68</v>
      </c>
      <c r="D12" s="27">
        <v>39.799999999999997</v>
      </c>
      <c r="E12" s="27">
        <v>35</v>
      </c>
      <c r="F12" s="23" t="str">
        <f t="shared" si="0"/>
        <v>F</v>
      </c>
      <c r="G12" s="27"/>
    </row>
    <row r="13" spans="1:7" ht="18" customHeight="1" x14ac:dyDescent="0.35">
      <c r="A13" s="15" t="s">
        <v>42</v>
      </c>
      <c r="B13" s="15" t="s">
        <v>28</v>
      </c>
      <c r="C13" s="15">
        <v>66</v>
      </c>
      <c r="D13" s="15">
        <v>50.6</v>
      </c>
      <c r="E13" s="15">
        <v>60</v>
      </c>
      <c r="F13" s="21" t="str">
        <f t="shared" si="0"/>
        <v>D</v>
      </c>
      <c r="G13" s="15"/>
    </row>
    <row r="14" spans="1:7" ht="18" customHeight="1" x14ac:dyDescent="0.35">
      <c r="A14" s="27" t="s">
        <v>47</v>
      </c>
      <c r="B14" s="27" t="s">
        <v>45</v>
      </c>
      <c r="C14" s="27">
        <v>73</v>
      </c>
      <c r="D14" s="27">
        <v>57.18</v>
      </c>
      <c r="E14" s="27">
        <v>70</v>
      </c>
      <c r="F14" s="21" t="str">
        <f t="shared" si="0"/>
        <v>D</v>
      </c>
      <c r="G14" s="27"/>
    </row>
    <row r="15" spans="1:7" ht="18" customHeight="1" x14ac:dyDescent="0.35">
      <c r="A15" s="15" t="s">
        <v>52</v>
      </c>
      <c r="B15" s="15" t="s">
        <v>45</v>
      </c>
      <c r="C15" s="15">
        <v>63</v>
      </c>
      <c r="D15" s="15">
        <v>40.64</v>
      </c>
      <c r="E15" s="15">
        <v>17</v>
      </c>
      <c r="F15" s="23" t="str">
        <f t="shared" si="0"/>
        <v>F</v>
      </c>
      <c r="G15" s="15"/>
    </row>
    <row r="16" spans="1:7" ht="18" customHeight="1" x14ac:dyDescent="0.35">
      <c r="A16" s="27" t="s">
        <v>53</v>
      </c>
      <c r="B16" s="27" t="s">
        <v>45</v>
      </c>
      <c r="C16" s="27">
        <v>60</v>
      </c>
      <c r="D16" s="27">
        <v>43</v>
      </c>
      <c r="E16" s="27">
        <v>44</v>
      </c>
      <c r="F16" s="23" t="str">
        <f t="shared" si="0"/>
        <v>F</v>
      </c>
      <c r="G16" s="27"/>
    </row>
    <row r="17" spans="1:7" ht="18" customHeight="1" x14ac:dyDescent="0.35">
      <c r="A17" s="15" t="s">
        <v>58</v>
      </c>
      <c r="B17" s="15" t="s">
        <v>45</v>
      </c>
      <c r="C17" s="15">
        <v>66</v>
      </c>
      <c r="D17" s="15">
        <v>41.18</v>
      </c>
      <c r="E17" s="15">
        <v>6</v>
      </c>
      <c r="F17" s="23" t="str">
        <f t="shared" si="0"/>
        <v>F</v>
      </c>
      <c r="G17" s="15"/>
    </row>
    <row r="18" spans="1:7" ht="18" customHeight="1" x14ac:dyDescent="0.35">
      <c r="A18" s="27" t="s">
        <v>74</v>
      </c>
      <c r="B18" s="27" t="s">
        <v>60</v>
      </c>
      <c r="C18" s="27">
        <v>62</v>
      </c>
      <c r="D18" s="27">
        <v>59.1</v>
      </c>
      <c r="E18" s="27">
        <v>38</v>
      </c>
      <c r="F18" s="21" t="str">
        <f t="shared" si="0"/>
        <v>D</v>
      </c>
      <c r="G18" s="27"/>
    </row>
    <row r="19" spans="1:7" ht="23.25" customHeight="1" x14ac:dyDescent="0.35">
      <c r="A19" s="6" t="s">
        <v>92</v>
      </c>
      <c r="B19" s="28">
        <f>COUNTIF('Raw Data'!$H$3:$H$51,"YES")</f>
        <v>8</v>
      </c>
      <c r="C19" s="22" t="s">
        <v>93</v>
      </c>
      <c r="D19" s="29">
        <f>COUNTIF('Raw Data'!$H$3:$H$51,"Academic Risk")</f>
        <v>14</v>
      </c>
    </row>
    <row r="21" spans="1:7" ht="21.75" customHeight="1" x14ac:dyDescent="0.35">
      <c r="A21" s="97" t="s">
        <v>94</v>
      </c>
      <c r="B21" s="97"/>
      <c r="C21" s="97"/>
      <c r="D21" s="97"/>
      <c r="E21" s="97"/>
      <c r="F21" s="97"/>
      <c r="G21" s="97"/>
    </row>
    <row r="22" spans="1:7" ht="15" customHeight="1" x14ac:dyDescent="0.35">
      <c r="A22" s="12" t="s">
        <v>19</v>
      </c>
      <c r="B22" s="12" t="s">
        <v>20</v>
      </c>
      <c r="C22" s="12" t="s">
        <v>21</v>
      </c>
      <c r="D22" s="12" t="s">
        <v>23</v>
      </c>
      <c r="E22" s="12" t="s">
        <v>20</v>
      </c>
      <c r="F22" s="12" t="s">
        <v>95</v>
      </c>
      <c r="G22" s="12"/>
    </row>
    <row r="23" spans="1:7" ht="18" customHeight="1" x14ac:dyDescent="0.35">
      <c r="A23" s="30" t="s">
        <v>31</v>
      </c>
      <c r="B23" s="30" t="s">
        <v>28</v>
      </c>
      <c r="C23" s="30">
        <v>89</v>
      </c>
      <c r="D23" s="30">
        <v>54.9</v>
      </c>
      <c r="E23" s="21" t="str">
        <f t="shared" ref="E23:E33" si="1">IF(D23="","F",IF(D23&gt;80,"A",IF(D23&gt;=70,"B",IF(D23&gt;=60,"C",IF(D23&gt;=50,"D","F")))))</f>
        <v>D</v>
      </c>
      <c r="F23" s="30" t="s">
        <v>96</v>
      </c>
      <c r="G23" s="30"/>
    </row>
    <row r="24" spans="1:7" ht="18" customHeight="1" x14ac:dyDescent="0.35">
      <c r="A24" s="30" t="s">
        <v>33</v>
      </c>
      <c r="B24" s="30" t="s">
        <v>28</v>
      </c>
      <c r="C24" s="30">
        <v>70</v>
      </c>
      <c r="D24" s="30">
        <v>66</v>
      </c>
      <c r="E24" s="24" t="str">
        <f t="shared" si="1"/>
        <v>C</v>
      </c>
      <c r="F24" s="30" t="s">
        <v>97</v>
      </c>
      <c r="G24" s="30"/>
    </row>
    <row r="25" spans="1:7" ht="18" customHeight="1" x14ac:dyDescent="0.35">
      <c r="A25" s="30" t="s">
        <v>37</v>
      </c>
      <c r="B25" s="30" t="s">
        <v>28</v>
      </c>
      <c r="C25" s="30">
        <v>63</v>
      </c>
      <c r="D25" s="30">
        <v>68.8</v>
      </c>
      <c r="E25" s="24" t="str">
        <f t="shared" si="1"/>
        <v>C</v>
      </c>
      <c r="F25" s="30" t="s">
        <v>97</v>
      </c>
      <c r="G25" s="30"/>
    </row>
    <row r="26" spans="1:7" ht="18" customHeight="1" x14ac:dyDescent="0.35">
      <c r="A26" s="30" t="s">
        <v>44</v>
      </c>
      <c r="B26" s="30" t="s">
        <v>45</v>
      </c>
      <c r="C26" s="30">
        <v>63</v>
      </c>
      <c r="D26" s="30">
        <v>67.180000000000007</v>
      </c>
      <c r="E26" s="24" t="str">
        <f t="shared" si="1"/>
        <v>C</v>
      </c>
      <c r="F26" s="30" t="s">
        <v>97</v>
      </c>
      <c r="G26" s="30"/>
    </row>
    <row r="27" spans="1:7" ht="18" customHeight="1" x14ac:dyDescent="0.35">
      <c r="A27" s="30" t="s">
        <v>46</v>
      </c>
      <c r="B27" s="30" t="s">
        <v>45</v>
      </c>
      <c r="C27" s="30">
        <v>72</v>
      </c>
      <c r="D27" s="30">
        <v>74.64</v>
      </c>
      <c r="E27" s="16" t="str">
        <f t="shared" si="1"/>
        <v>B</v>
      </c>
      <c r="F27" s="30" t="s">
        <v>97</v>
      </c>
      <c r="G27" s="30"/>
    </row>
    <row r="28" spans="1:7" ht="18" customHeight="1" x14ac:dyDescent="0.35">
      <c r="A28" s="30" t="s">
        <v>48</v>
      </c>
      <c r="B28" s="30" t="s">
        <v>45</v>
      </c>
      <c r="C28" s="30">
        <v>88</v>
      </c>
      <c r="D28" s="30">
        <v>50.09</v>
      </c>
      <c r="E28" s="21" t="str">
        <f t="shared" si="1"/>
        <v>D</v>
      </c>
      <c r="F28" s="30" t="s">
        <v>96</v>
      </c>
      <c r="G28" s="30"/>
    </row>
    <row r="29" spans="1:7" ht="18" customHeight="1" x14ac:dyDescent="0.35">
      <c r="A29" s="30" t="s">
        <v>49</v>
      </c>
      <c r="B29" s="30" t="s">
        <v>45</v>
      </c>
      <c r="C29" s="30">
        <v>72</v>
      </c>
      <c r="D29" s="30">
        <v>80.64</v>
      </c>
      <c r="E29" s="25" t="str">
        <f t="shared" si="1"/>
        <v>A</v>
      </c>
      <c r="F29" s="30" t="s">
        <v>97</v>
      </c>
      <c r="G29" s="30"/>
    </row>
    <row r="30" spans="1:7" ht="18" customHeight="1" x14ac:dyDescent="0.35">
      <c r="A30" s="30" t="s">
        <v>70</v>
      </c>
      <c r="B30" s="30" t="s">
        <v>60</v>
      </c>
      <c r="C30" s="30">
        <v>74</v>
      </c>
      <c r="D30" s="30">
        <v>66.2</v>
      </c>
      <c r="E30" s="24" t="str">
        <f t="shared" si="1"/>
        <v>C</v>
      </c>
      <c r="F30" s="30" t="s">
        <v>97</v>
      </c>
      <c r="G30" s="30"/>
    </row>
    <row r="31" spans="1:7" ht="18" customHeight="1" x14ac:dyDescent="0.35">
      <c r="A31" s="30" t="s">
        <v>72</v>
      </c>
      <c r="B31" s="30" t="s">
        <v>60</v>
      </c>
      <c r="C31" s="30">
        <v>67</v>
      </c>
      <c r="D31" s="30">
        <v>69.3</v>
      </c>
      <c r="E31" s="24" t="str">
        <f t="shared" si="1"/>
        <v>C</v>
      </c>
      <c r="F31" s="30" t="s">
        <v>97</v>
      </c>
      <c r="G31" s="30"/>
    </row>
    <row r="32" spans="1:7" ht="18" customHeight="1" x14ac:dyDescent="0.35">
      <c r="A32" s="30" t="s">
        <v>75</v>
      </c>
      <c r="B32" s="30" t="s">
        <v>60</v>
      </c>
      <c r="C32" s="30">
        <v>100</v>
      </c>
      <c r="D32" s="30">
        <v>50.7</v>
      </c>
      <c r="E32" s="21" t="str">
        <f t="shared" si="1"/>
        <v>D</v>
      </c>
      <c r="F32" s="30" t="s">
        <v>96</v>
      </c>
      <c r="G32" s="30"/>
    </row>
    <row r="33" spans="1:7" ht="18" customHeight="1" x14ac:dyDescent="0.35">
      <c r="A33" s="30" t="s">
        <v>77</v>
      </c>
      <c r="B33" s="30" t="s">
        <v>60</v>
      </c>
      <c r="C33" s="30">
        <v>93</v>
      </c>
      <c r="D33" s="30">
        <v>51.4</v>
      </c>
      <c r="E33" s="21" t="str">
        <f t="shared" si="1"/>
        <v>D</v>
      </c>
      <c r="F33" s="30" t="s">
        <v>96</v>
      </c>
      <c r="G33" s="30"/>
    </row>
  </sheetData>
  <mergeCells count="5">
    <mergeCell ref="A1:G1"/>
    <mergeCell ref="A3:G3"/>
    <mergeCell ref="A8:G8"/>
    <mergeCell ref="A9:G9"/>
    <mergeCell ref="A21:G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3"/>
  <sheetViews>
    <sheetView showGridLines="0" topLeftCell="A19" zoomScaleNormal="100" workbookViewId="0">
      <selection sqref="A1:F1"/>
    </sheetView>
  </sheetViews>
  <sheetFormatPr defaultColWidth="8.6328125" defaultRowHeight="14.5" x14ac:dyDescent="0.35"/>
  <cols>
    <col min="1" max="1" width="5" customWidth="1"/>
    <col min="2" max="2" width="24" customWidth="1"/>
    <col min="3" max="3" width="8" customWidth="1"/>
    <col min="4" max="4" width="15" customWidth="1"/>
    <col min="5" max="6" width="14" customWidth="1"/>
    <col min="7" max="7" width="10" customWidth="1"/>
  </cols>
  <sheetData>
    <row r="1" spans="1:7" ht="27.75" customHeight="1" x14ac:dyDescent="0.35">
      <c r="A1" s="91" t="s">
        <v>98</v>
      </c>
      <c r="B1" s="91"/>
      <c r="C1" s="91"/>
      <c r="D1" s="91"/>
      <c r="E1" s="91"/>
      <c r="F1" s="91"/>
    </row>
    <row r="3" spans="1:7" ht="24" customHeight="1" x14ac:dyDescent="0.35">
      <c r="A3" s="100" t="s">
        <v>99</v>
      </c>
      <c r="B3" s="100"/>
      <c r="C3" s="100"/>
      <c r="D3" s="100"/>
      <c r="E3" s="100"/>
      <c r="F3" s="100"/>
    </row>
    <row r="4" spans="1:7" ht="24" customHeight="1" x14ac:dyDescent="0.35">
      <c r="A4" s="2" t="s">
        <v>100</v>
      </c>
      <c r="B4" s="2" t="s">
        <v>19</v>
      </c>
      <c r="C4" s="2" t="s">
        <v>20</v>
      </c>
      <c r="D4" s="2" t="s">
        <v>21</v>
      </c>
      <c r="E4" s="2" t="s">
        <v>22</v>
      </c>
      <c r="F4" s="2" t="s">
        <v>23</v>
      </c>
      <c r="G4" s="2" t="s">
        <v>20</v>
      </c>
    </row>
    <row r="5" spans="1:7" ht="18" customHeight="1" x14ac:dyDescent="0.35">
      <c r="A5" s="15">
        <v>1</v>
      </c>
      <c r="B5" s="14" t="s">
        <v>65</v>
      </c>
      <c r="C5" s="15" t="s">
        <v>60</v>
      </c>
      <c r="D5" s="15">
        <v>83</v>
      </c>
      <c r="E5" s="15">
        <v>85</v>
      </c>
      <c r="F5" s="15">
        <v>83.1</v>
      </c>
      <c r="G5" s="25" t="str">
        <f t="shared" ref="G5:G14" si="0">IF(F5="","F",IF(F5&gt;80,"A",IF(F5&gt;=70,"B",IF(F5&gt;=60,"C",IF(F5&gt;=50,"D","F")))))</f>
        <v>A</v>
      </c>
    </row>
    <row r="6" spans="1:7" ht="18" customHeight="1" x14ac:dyDescent="0.35">
      <c r="A6" s="31">
        <v>2</v>
      </c>
      <c r="B6" s="32" t="s">
        <v>76</v>
      </c>
      <c r="C6" s="31" t="s">
        <v>60</v>
      </c>
      <c r="D6" s="31">
        <v>86</v>
      </c>
      <c r="E6" s="31">
        <v>69</v>
      </c>
      <c r="F6" s="31">
        <v>81.3</v>
      </c>
      <c r="G6" s="25" t="str">
        <f t="shared" si="0"/>
        <v>A</v>
      </c>
    </row>
    <row r="7" spans="1:7" ht="18" customHeight="1" x14ac:dyDescent="0.35">
      <c r="A7" s="15">
        <v>3</v>
      </c>
      <c r="B7" s="14" t="s">
        <v>49</v>
      </c>
      <c r="C7" s="15" t="s">
        <v>45</v>
      </c>
      <c r="D7" s="15">
        <v>72</v>
      </c>
      <c r="E7" s="15">
        <v>74</v>
      </c>
      <c r="F7" s="15">
        <v>80.64</v>
      </c>
      <c r="G7" s="25" t="str">
        <f t="shared" si="0"/>
        <v>A</v>
      </c>
    </row>
    <row r="8" spans="1:7" ht="18" customHeight="1" x14ac:dyDescent="0.35">
      <c r="A8" s="31">
        <v>4</v>
      </c>
      <c r="B8" s="32" t="s">
        <v>59</v>
      </c>
      <c r="C8" s="31" t="s">
        <v>60</v>
      </c>
      <c r="D8" s="31">
        <v>89</v>
      </c>
      <c r="E8" s="31">
        <v>86</v>
      </c>
      <c r="F8" s="31">
        <v>80.5</v>
      </c>
      <c r="G8" s="25" t="str">
        <f t="shared" si="0"/>
        <v>A</v>
      </c>
    </row>
    <row r="9" spans="1:7" ht="18" customHeight="1" x14ac:dyDescent="0.35">
      <c r="A9" s="15">
        <v>5</v>
      </c>
      <c r="B9" s="14" t="s">
        <v>66</v>
      </c>
      <c r="C9" s="15" t="s">
        <v>60</v>
      </c>
      <c r="D9" s="15">
        <v>96</v>
      </c>
      <c r="E9" s="15">
        <v>88</v>
      </c>
      <c r="F9" s="15">
        <v>79.5</v>
      </c>
      <c r="G9" s="16" t="str">
        <f t="shared" si="0"/>
        <v>B</v>
      </c>
    </row>
    <row r="10" spans="1:7" ht="18" customHeight="1" x14ac:dyDescent="0.35">
      <c r="A10" s="31">
        <v>6</v>
      </c>
      <c r="B10" s="32" t="s">
        <v>34</v>
      </c>
      <c r="C10" s="31" t="s">
        <v>28</v>
      </c>
      <c r="D10" s="31">
        <v>78</v>
      </c>
      <c r="E10" s="31">
        <v>89</v>
      </c>
      <c r="F10" s="31">
        <v>77.599999999999994</v>
      </c>
      <c r="G10" s="16" t="str">
        <f t="shared" si="0"/>
        <v>B</v>
      </c>
    </row>
    <row r="11" spans="1:7" ht="18" customHeight="1" x14ac:dyDescent="0.35">
      <c r="A11" s="15">
        <v>7</v>
      </c>
      <c r="B11" s="14" t="s">
        <v>51</v>
      </c>
      <c r="C11" s="15" t="s">
        <v>45</v>
      </c>
      <c r="D11" s="15">
        <v>89</v>
      </c>
      <c r="E11" s="15">
        <v>76</v>
      </c>
      <c r="F11" s="15">
        <v>76.64</v>
      </c>
      <c r="G11" s="16" t="str">
        <f t="shared" si="0"/>
        <v>B</v>
      </c>
    </row>
    <row r="12" spans="1:7" ht="18" customHeight="1" x14ac:dyDescent="0.35">
      <c r="A12" s="31">
        <v>8</v>
      </c>
      <c r="B12" s="32" t="s">
        <v>27</v>
      </c>
      <c r="C12" s="31" t="s">
        <v>28</v>
      </c>
      <c r="D12" s="31">
        <v>90</v>
      </c>
      <c r="E12" s="31">
        <v>80</v>
      </c>
      <c r="F12" s="31">
        <v>76.2</v>
      </c>
      <c r="G12" s="16" t="str">
        <f t="shared" si="0"/>
        <v>B</v>
      </c>
    </row>
    <row r="13" spans="1:7" ht="18" customHeight="1" x14ac:dyDescent="0.35">
      <c r="A13" s="15">
        <v>9</v>
      </c>
      <c r="B13" s="14" t="s">
        <v>73</v>
      </c>
      <c r="C13" s="15" t="s">
        <v>60</v>
      </c>
      <c r="D13" s="15">
        <v>75</v>
      </c>
      <c r="E13" s="15">
        <v>62</v>
      </c>
      <c r="F13" s="15">
        <v>75.900000000000006</v>
      </c>
      <c r="G13" s="16" t="str">
        <f t="shared" si="0"/>
        <v>B</v>
      </c>
    </row>
    <row r="14" spans="1:7" ht="18" customHeight="1" x14ac:dyDescent="0.35">
      <c r="A14" s="31">
        <v>10</v>
      </c>
      <c r="B14" s="32" t="s">
        <v>29</v>
      </c>
      <c r="C14" s="31" t="s">
        <v>28</v>
      </c>
      <c r="D14" s="31">
        <v>88</v>
      </c>
      <c r="E14" s="31">
        <v>84</v>
      </c>
      <c r="F14" s="31">
        <v>75.2</v>
      </c>
      <c r="G14" s="16" t="str">
        <f t="shared" si="0"/>
        <v>B</v>
      </c>
    </row>
    <row r="16" spans="1:7" ht="24" customHeight="1" x14ac:dyDescent="0.35">
      <c r="A16" s="101" t="s">
        <v>101</v>
      </c>
      <c r="B16" s="101"/>
      <c r="C16" s="101"/>
      <c r="D16" s="101"/>
      <c r="E16" s="101"/>
      <c r="F16" s="101"/>
    </row>
    <row r="17" spans="1:7" ht="24" customHeight="1" x14ac:dyDescent="0.35">
      <c r="A17" s="6" t="s">
        <v>100</v>
      </c>
      <c r="B17" s="6" t="s">
        <v>19</v>
      </c>
      <c r="C17" s="6" t="s">
        <v>20</v>
      </c>
      <c r="D17" s="6" t="s">
        <v>21</v>
      </c>
      <c r="E17" s="6" t="s">
        <v>22</v>
      </c>
      <c r="F17" s="6" t="s">
        <v>23</v>
      </c>
      <c r="G17" s="6" t="s">
        <v>20</v>
      </c>
    </row>
    <row r="18" spans="1:7" ht="18" customHeight="1" x14ac:dyDescent="0.35">
      <c r="A18" s="27">
        <v>1</v>
      </c>
      <c r="B18" s="33" t="s">
        <v>78</v>
      </c>
      <c r="C18" s="27" t="s">
        <v>60</v>
      </c>
      <c r="D18" s="27">
        <v>75</v>
      </c>
      <c r="E18" s="27">
        <v>21</v>
      </c>
      <c r="F18" s="27">
        <v>34.700000000000003</v>
      </c>
      <c r="G18" s="23" t="str">
        <f t="shared" ref="G18:G27" si="1">IF(F18="","F",IF(F18&gt;80,"A",IF(F18&gt;=70,"B",IF(F18&gt;=60,"C",IF(F18&gt;=50,"D","F")))))</f>
        <v>F</v>
      </c>
    </row>
    <row r="19" spans="1:7" ht="18" customHeight="1" x14ac:dyDescent="0.35">
      <c r="A19" s="15">
        <v>2</v>
      </c>
      <c r="B19" s="14" t="s">
        <v>39</v>
      </c>
      <c r="C19" s="15" t="s">
        <v>28</v>
      </c>
      <c r="D19" s="15">
        <v>68</v>
      </c>
      <c r="E19" s="15">
        <v>35</v>
      </c>
      <c r="F19" s="15">
        <v>39.799999999999997</v>
      </c>
      <c r="G19" s="23" t="str">
        <f t="shared" si="1"/>
        <v>F</v>
      </c>
    </row>
    <row r="20" spans="1:7" ht="18" customHeight="1" x14ac:dyDescent="0.35">
      <c r="A20" s="27">
        <v>3</v>
      </c>
      <c r="B20" s="33" t="s">
        <v>52</v>
      </c>
      <c r="C20" s="27" t="s">
        <v>45</v>
      </c>
      <c r="D20" s="27">
        <v>63</v>
      </c>
      <c r="E20" s="27">
        <v>17</v>
      </c>
      <c r="F20" s="27">
        <v>40.64</v>
      </c>
      <c r="G20" s="23" t="str">
        <f t="shared" si="1"/>
        <v>F</v>
      </c>
    </row>
    <row r="21" spans="1:7" ht="18" customHeight="1" x14ac:dyDescent="0.35">
      <c r="A21" s="15">
        <v>4</v>
      </c>
      <c r="B21" s="14" t="s">
        <v>50</v>
      </c>
      <c r="C21" s="15" t="s">
        <v>45</v>
      </c>
      <c r="D21" s="15">
        <v>80</v>
      </c>
      <c r="E21" s="15">
        <v>60</v>
      </c>
      <c r="F21" s="15">
        <v>40.909999999999997</v>
      </c>
      <c r="G21" s="23" t="str">
        <f t="shared" si="1"/>
        <v>F</v>
      </c>
    </row>
    <row r="22" spans="1:7" ht="18" customHeight="1" x14ac:dyDescent="0.35">
      <c r="A22" s="27">
        <v>5</v>
      </c>
      <c r="B22" s="33" t="s">
        <v>58</v>
      </c>
      <c r="C22" s="27" t="s">
        <v>45</v>
      </c>
      <c r="D22" s="27">
        <v>66</v>
      </c>
      <c r="E22" s="27">
        <v>6</v>
      </c>
      <c r="F22" s="27">
        <v>41.18</v>
      </c>
      <c r="G22" s="23" t="str">
        <f t="shared" si="1"/>
        <v>F</v>
      </c>
    </row>
    <row r="23" spans="1:7" ht="18" customHeight="1" x14ac:dyDescent="0.35">
      <c r="A23" s="15">
        <v>6</v>
      </c>
      <c r="B23" s="14" t="s">
        <v>53</v>
      </c>
      <c r="C23" s="15" t="s">
        <v>45</v>
      </c>
      <c r="D23" s="15">
        <v>60</v>
      </c>
      <c r="E23" s="15">
        <v>44</v>
      </c>
      <c r="F23" s="15">
        <v>43</v>
      </c>
      <c r="G23" s="23" t="str">
        <f t="shared" si="1"/>
        <v>F</v>
      </c>
    </row>
    <row r="24" spans="1:7" ht="18" customHeight="1" x14ac:dyDescent="0.35">
      <c r="A24" s="27">
        <v>7</v>
      </c>
      <c r="B24" s="33" t="s">
        <v>32</v>
      </c>
      <c r="C24" s="27" t="s">
        <v>28</v>
      </c>
      <c r="D24" s="27">
        <v>72</v>
      </c>
      <c r="E24" s="27">
        <v>55</v>
      </c>
      <c r="F24" s="27">
        <v>45.8</v>
      </c>
      <c r="G24" s="23" t="str">
        <f t="shared" si="1"/>
        <v>F</v>
      </c>
    </row>
    <row r="25" spans="1:7" ht="18" customHeight="1" x14ac:dyDescent="0.35">
      <c r="A25" s="15">
        <v>8</v>
      </c>
      <c r="B25" s="14" t="s">
        <v>35</v>
      </c>
      <c r="C25" s="15" t="s">
        <v>28</v>
      </c>
      <c r="D25" s="15">
        <v>83</v>
      </c>
      <c r="E25" s="15">
        <v>67</v>
      </c>
      <c r="F25" s="15">
        <v>48.5</v>
      </c>
      <c r="G25" s="23" t="str">
        <f t="shared" si="1"/>
        <v>F</v>
      </c>
    </row>
    <row r="26" spans="1:7" ht="18" customHeight="1" x14ac:dyDescent="0.35">
      <c r="A26" s="27">
        <v>9</v>
      </c>
      <c r="B26" s="33" t="s">
        <v>48</v>
      </c>
      <c r="C26" s="27" t="s">
        <v>45</v>
      </c>
      <c r="D26" s="27">
        <v>88</v>
      </c>
      <c r="E26" s="27">
        <v>45</v>
      </c>
      <c r="F26" s="27">
        <v>50.09</v>
      </c>
      <c r="G26" s="21" t="str">
        <f t="shared" si="1"/>
        <v>D</v>
      </c>
    </row>
    <row r="27" spans="1:7" ht="18" customHeight="1" x14ac:dyDescent="0.35">
      <c r="A27" s="15">
        <v>10</v>
      </c>
      <c r="B27" s="14" t="s">
        <v>30</v>
      </c>
      <c r="C27" s="15" t="s">
        <v>28</v>
      </c>
      <c r="D27" s="15">
        <v>78</v>
      </c>
      <c r="E27" s="15">
        <v>35</v>
      </c>
      <c r="F27" s="15">
        <v>50.6</v>
      </c>
      <c r="G27" s="21" t="str">
        <f t="shared" si="1"/>
        <v>D</v>
      </c>
    </row>
    <row r="28" spans="1:7" ht="21.75" customHeight="1" x14ac:dyDescent="0.35">
      <c r="A28" s="102" t="s">
        <v>102</v>
      </c>
      <c r="B28" s="102"/>
      <c r="C28" s="102"/>
      <c r="D28" s="102"/>
      <c r="E28" s="102"/>
      <c r="F28" s="102"/>
      <c r="G28" s="102"/>
    </row>
    <row r="29" spans="1:7" ht="19.5" customHeight="1" x14ac:dyDescent="0.35">
      <c r="A29" s="98" t="s">
        <v>103</v>
      </c>
      <c r="B29" s="98"/>
      <c r="C29" s="98"/>
      <c r="D29" s="98"/>
      <c r="E29" s="99">
        <f>AVERAGE('Raw Data'!$E$3:$E$51)</f>
        <v>61.710612244897959</v>
      </c>
      <c r="F29" s="99"/>
      <c r="G29" s="99"/>
    </row>
    <row r="30" spans="1:7" ht="19.5" customHeight="1" x14ac:dyDescent="0.35">
      <c r="A30" s="98" t="s">
        <v>104</v>
      </c>
      <c r="B30" s="98"/>
      <c r="C30" s="98"/>
      <c r="D30" s="98"/>
      <c r="E30" s="99">
        <f>MAX('Raw Data'!$E$3:$E$51)</f>
        <v>83.1</v>
      </c>
      <c r="F30" s="99"/>
      <c r="G30" s="99"/>
    </row>
    <row r="31" spans="1:7" ht="19.5" customHeight="1" x14ac:dyDescent="0.35">
      <c r="A31" s="98" t="s">
        <v>105</v>
      </c>
      <c r="B31" s="98"/>
      <c r="C31" s="98"/>
      <c r="D31" s="98"/>
      <c r="E31" s="99">
        <f>MIN('Raw Data'!$E$3:$E$51)</f>
        <v>34.700000000000003</v>
      </c>
      <c r="F31" s="99"/>
      <c r="G31" s="99"/>
    </row>
    <row r="32" spans="1:7" ht="19.5" customHeight="1" x14ac:dyDescent="0.35">
      <c r="A32" s="98" t="s">
        <v>106</v>
      </c>
      <c r="B32" s="98"/>
      <c r="C32" s="98"/>
      <c r="D32" s="98"/>
      <c r="E32" s="99">
        <f>COUNTIF('Raw Data'!$G$3:$G$51,"A")</f>
        <v>4</v>
      </c>
      <c r="F32" s="99"/>
      <c r="G32" s="99"/>
    </row>
    <row r="33" spans="1:7" ht="19.5" customHeight="1" x14ac:dyDescent="0.35">
      <c r="A33" s="98" t="s">
        <v>107</v>
      </c>
      <c r="B33" s="98"/>
      <c r="C33" s="98"/>
      <c r="D33" s="98"/>
      <c r="E33" s="99">
        <f>COUNTIF('Raw Data'!$G$3:$G$51,"F")</f>
        <v>8</v>
      </c>
      <c r="F33" s="99"/>
      <c r="G33" s="99"/>
    </row>
  </sheetData>
  <mergeCells count="14">
    <mergeCell ref="A1:F1"/>
    <mergeCell ref="A3:F3"/>
    <mergeCell ref="A16:F16"/>
    <mergeCell ref="A28:G28"/>
    <mergeCell ref="A29:D29"/>
    <mergeCell ref="E29:G29"/>
    <mergeCell ref="A33:D33"/>
    <mergeCell ref="E33:G33"/>
    <mergeCell ref="A30:D30"/>
    <mergeCell ref="E30:G30"/>
    <mergeCell ref="A31:D31"/>
    <mergeCell ref="E31:G31"/>
    <mergeCell ref="A32:D32"/>
    <mergeCell ref="E32:G3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1"/>
  <sheetViews>
    <sheetView showGridLines="0" zoomScaleNormal="100" workbookViewId="0">
      <selection activeCell="A30" sqref="A30"/>
    </sheetView>
  </sheetViews>
  <sheetFormatPr defaultColWidth="8.6328125" defaultRowHeight="14.5" x14ac:dyDescent="0.35"/>
  <cols>
    <col min="1" max="1" width="22" customWidth="1"/>
    <col min="2" max="2" width="13" customWidth="1"/>
    <col min="3" max="3" width="18" customWidth="1"/>
    <col min="4" max="4" width="14" customWidth="1"/>
    <col min="5" max="5" width="16" customWidth="1"/>
    <col min="7" max="7" width="22" customWidth="1"/>
    <col min="8" max="9" width="14" customWidth="1"/>
    <col min="10" max="10" width="10" customWidth="1"/>
  </cols>
  <sheetData>
    <row r="1" spans="1:10" ht="24.75" customHeight="1" x14ac:dyDescent="0.35">
      <c r="A1" s="103" t="s">
        <v>108</v>
      </c>
      <c r="B1" s="103"/>
      <c r="C1" s="103"/>
      <c r="D1" s="103"/>
      <c r="E1" s="103"/>
      <c r="G1" s="104" t="s">
        <v>109</v>
      </c>
      <c r="H1" s="104"/>
      <c r="I1" s="104"/>
      <c r="J1" s="104"/>
    </row>
    <row r="2" spans="1:10" ht="15" customHeight="1" x14ac:dyDescent="0.35">
      <c r="A2" s="1" t="s">
        <v>24</v>
      </c>
      <c r="B2" s="1" t="s">
        <v>81</v>
      </c>
      <c r="C2" s="1" t="s">
        <v>82</v>
      </c>
      <c r="D2" s="1" t="s">
        <v>83</v>
      </c>
      <c r="E2" s="1" t="s">
        <v>84</v>
      </c>
      <c r="G2" s="1" t="s">
        <v>19</v>
      </c>
      <c r="H2" s="1" t="s">
        <v>21</v>
      </c>
      <c r="I2" s="1" t="s">
        <v>23</v>
      </c>
      <c r="J2" s="1" t="s">
        <v>20</v>
      </c>
    </row>
    <row r="3" spans="1:10" ht="15" customHeight="1" x14ac:dyDescent="0.35">
      <c r="A3" s="2" t="s">
        <v>87</v>
      </c>
      <c r="B3" s="26">
        <f>COUNTIF('Raw Data'!$F$3:$F$51,"High (90-100%)")</f>
        <v>5</v>
      </c>
      <c r="C3" s="26">
        <f>IFERROR(AVERAGEIF('Raw Data'!$F$3:$F$51,"High (90-100%)",'Raw Data'!$C$3:$C$51),0)</f>
        <v>95</v>
      </c>
      <c r="D3" s="26">
        <f>IFERROR(AVERAGEIF('Raw Data'!$F$3:$F$51,"High (90-100%)",'Raw Data'!$D$3:$D$51),0)</f>
        <v>65.599999999999994</v>
      </c>
      <c r="E3" s="26">
        <f>IFERROR(AVERAGEIF('Raw Data'!$F$3:$F$51,"High (90-100%)",'Raw Data'!$E$3:$E$51),0)</f>
        <v>65.47999999999999</v>
      </c>
      <c r="G3" s="15" t="s">
        <v>27</v>
      </c>
      <c r="H3" s="15">
        <v>90</v>
      </c>
      <c r="I3" s="15">
        <v>76.2</v>
      </c>
      <c r="J3" s="15" t="s">
        <v>28</v>
      </c>
    </row>
    <row r="4" spans="1:10" ht="15" customHeight="1" x14ac:dyDescent="0.35">
      <c r="A4" s="1" t="s">
        <v>88</v>
      </c>
      <c r="B4" s="26">
        <f>COUNTIF('Raw Data'!$F$3:$F$51,"Medium (75-89%)")</f>
        <v>27</v>
      </c>
      <c r="C4" s="26">
        <f>IFERROR(AVERAGEIF('Raw Data'!$F$3:$F$51,"Medium (75-89%)",'Raw Data'!$C$3:$C$51),0)</f>
        <v>83.407407407407405</v>
      </c>
      <c r="D4" s="26">
        <f>IFERROR(AVERAGEIF('Raw Data'!$F$3:$F$51,"Medium (75-89%)",'Raw Data'!$D$3:$D$51),0)</f>
        <v>63.481481481481481</v>
      </c>
      <c r="E4" s="26">
        <f>IFERROR(AVERAGEIF('Raw Data'!$F$3:$F$51,"Medium (75-89%)",'Raw Data'!$E$3:$E$51),0)</f>
        <v>63.175185185185185</v>
      </c>
      <c r="G4" s="19" t="s">
        <v>29</v>
      </c>
      <c r="H4" s="19">
        <v>88</v>
      </c>
      <c r="I4" s="19">
        <v>75.2</v>
      </c>
      <c r="J4" s="19" t="s">
        <v>28</v>
      </c>
    </row>
    <row r="5" spans="1:10" ht="15" customHeight="1" x14ac:dyDescent="0.35">
      <c r="A5" s="6" t="s">
        <v>89</v>
      </c>
      <c r="B5" s="26">
        <f>COUNTIF('Raw Data'!$F$3:$F$51,"Low (&lt;75%)")</f>
        <v>17</v>
      </c>
      <c r="C5" s="26">
        <f>IFERROR(AVERAGEIF('Raw Data'!$F$3:$F$51,"Low (&lt;75%)",'Raw Data'!$C$3:$C$51),0)</f>
        <v>67.882352941176464</v>
      </c>
      <c r="D5" s="26">
        <f>IFERROR(AVERAGEIF('Raw Data'!$F$3:$F$51,"Low (&lt;75%)",'Raw Data'!$D$3:$D$51),0)</f>
        <v>53.470588235294116</v>
      </c>
      <c r="E5" s="26">
        <f>IFERROR(AVERAGEIF('Raw Data'!$F$3:$F$51,"Low (&lt;75%)",'Raw Data'!$E$3:$E$51),0)</f>
        <v>58.275882352941174</v>
      </c>
      <c r="G5" s="15" t="s">
        <v>30</v>
      </c>
      <c r="H5" s="15">
        <v>78</v>
      </c>
      <c r="I5" s="15">
        <v>50.6</v>
      </c>
      <c r="J5" s="15" t="s">
        <v>28</v>
      </c>
    </row>
    <row r="6" spans="1:10" ht="15" customHeight="1" x14ac:dyDescent="0.35">
      <c r="G6" s="19" t="s">
        <v>31</v>
      </c>
      <c r="H6" s="19">
        <v>89</v>
      </c>
      <c r="I6" s="19">
        <v>54.9</v>
      </c>
      <c r="J6" s="19" t="s">
        <v>28</v>
      </c>
    </row>
    <row r="7" spans="1:10" ht="15" customHeight="1" x14ac:dyDescent="0.35">
      <c r="G7" s="15" t="s">
        <v>32</v>
      </c>
      <c r="H7" s="15">
        <v>72</v>
      </c>
      <c r="I7" s="15">
        <v>45.8</v>
      </c>
      <c r="J7" s="15" t="s">
        <v>28</v>
      </c>
    </row>
    <row r="8" spans="1:10" ht="15" customHeight="1" x14ac:dyDescent="0.35">
      <c r="G8" s="19" t="s">
        <v>33</v>
      </c>
      <c r="H8" s="19">
        <v>70</v>
      </c>
      <c r="I8" s="19">
        <v>66</v>
      </c>
      <c r="J8" s="19" t="s">
        <v>28</v>
      </c>
    </row>
    <row r="9" spans="1:10" ht="15" customHeight="1" x14ac:dyDescent="0.35">
      <c r="G9" s="15" t="s">
        <v>34</v>
      </c>
      <c r="H9" s="15">
        <v>78</v>
      </c>
      <c r="I9" s="15">
        <v>77.599999999999994</v>
      </c>
      <c r="J9" s="15" t="s">
        <v>28</v>
      </c>
    </row>
    <row r="10" spans="1:10" ht="15" customHeight="1" x14ac:dyDescent="0.35">
      <c r="G10" s="19" t="s">
        <v>35</v>
      </c>
      <c r="H10" s="19">
        <v>83</v>
      </c>
      <c r="I10" s="19">
        <v>48.5</v>
      </c>
      <c r="J10" s="19" t="s">
        <v>28</v>
      </c>
    </row>
    <row r="11" spans="1:10" ht="15" customHeight="1" x14ac:dyDescent="0.35">
      <c r="G11" s="15" t="s">
        <v>36</v>
      </c>
      <c r="H11" s="15">
        <v>87</v>
      </c>
      <c r="I11" s="15">
        <v>69</v>
      </c>
      <c r="J11" s="15" t="s">
        <v>28</v>
      </c>
    </row>
    <row r="12" spans="1:10" ht="15" customHeight="1" x14ac:dyDescent="0.35">
      <c r="G12" s="19" t="s">
        <v>37</v>
      </c>
      <c r="H12" s="19">
        <v>63</v>
      </c>
      <c r="I12" s="19">
        <v>68.8</v>
      </c>
      <c r="J12" s="19" t="s">
        <v>28</v>
      </c>
    </row>
    <row r="13" spans="1:10" ht="15" customHeight="1" x14ac:dyDescent="0.35">
      <c r="G13" s="15" t="s">
        <v>38</v>
      </c>
      <c r="H13" s="15">
        <v>80</v>
      </c>
      <c r="I13" s="15">
        <v>64.2</v>
      </c>
      <c r="J13" s="15" t="s">
        <v>28</v>
      </c>
    </row>
    <row r="14" spans="1:10" ht="15" customHeight="1" x14ac:dyDescent="0.35">
      <c r="G14" s="19" t="s">
        <v>39</v>
      </c>
      <c r="H14" s="19">
        <v>68</v>
      </c>
      <c r="I14" s="19">
        <v>39.799999999999997</v>
      </c>
      <c r="J14" s="19" t="s">
        <v>28</v>
      </c>
    </row>
    <row r="15" spans="1:10" ht="15" customHeight="1" x14ac:dyDescent="0.35">
      <c r="G15" s="15" t="s">
        <v>40</v>
      </c>
      <c r="H15" s="15">
        <v>85</v>
      </c>
      <c r="I15" s="15">
        <v>55.4</v>
      </c>
      <c r="J15" s="15" t="s">
        <v>28</v>
      </c>
    </row>
    <row r="16" spans="1:10" ht="15" customHeight="1" x14ac:dyDescent="0.35">
      <c r="G16" s="19" t="s">
        <v>41</v>
      </c>
      <c r="H16" s="19">
        <v>79</v>
      </c>
      <c r="I16" s="19">
        <v>51.2</v>
      </c>
      <c r="J16" s="19" t="s">
        <v>28</v>
      </c>
    </row>
    <row r="17" spans="7:10" ht="15" customHeight="1" x14ac:dyDescent="0.35">
      <c r="G17" s="15" t="s">
        <v>42</v>
      </c>
      <c r="H17" s="15">
        <v>66</v>
      </c>
      <c r="I17" s="15">
        <v>50.6</v>
      </c>
      <c r="J17" s="15" t="s">
        <v>28</v>
      </c>
    </row>
    <row r="18" spans="7:10" ht="15" customHeight="1" x14ac:dyDescent="0.35">
      <c r="G18" s="19" t="s">
        <v>43</v>
      </c>
      <c r="H18" s="19">
        <v>86</v>
      </c>
      <c r="I18" s="19">
        <v>70.599999999999994</v>
      </c>
      <c r="J18" s="19" t="s">
        <v>28</v>
      </c>
    </row>
    <row r="19" spans="7:10" ht="15" customHeight="1" x14ac:dyDescent="0.35">
      <c r="G19" s="15" t="s">
        <v>44</v>
      </c>
      <c r="H19" s="15">
        <v>63</v>
      </c>
      <c r="I19" s="15">
        <v>67.180000000000007</v>
      </c>
      <c r="J19" s="15" t="s">
        <v>45</v>
      </c>
    </row>
    <row r="20" spans="7:10" ht="15" customHeight="1" x14ac:dyDescent="0.35">
      <c r="G20" s="19" t="s">
        <v>46</v>
      </c>
      <c r="H20" s="19">
        <v>72</v>
      </c>
      <c r="I20" s="19">
        <v>74.64</v>
      </c>
      <c r="J20" s="19" t="s">
        <v>45</v>
      </c>
    </row>
    <row r="21" spans="7:10" ht="15" customHeight="1" x14ac:dyDescent="0.35">
      <c r="G21" s="15" t="s">
        <v>47</v>
      </c>
      <c r="H21" s="15">
        <v>73</v>
      </c>
      <c r="I21" s="15">
        <v>57.18</v>
      </c>
      <c r="J21" s="15" t="s">
        <v>45</v>
      </c>
    </row>
    <row r="22" spans="7:10" ht="15" customHeight="1" x14ac:dyDescent="0.35">
      <c r="G22" s="19" t="s">
        <v>48</v>
      </c>
      <c r="H22" s="19">
        <v>88</v>
      </c>
      <c r="I22" s="19">
        <v>50.09</v>
      </c>
      <c r="J22" s="19" t="s">
        <v>45</v>
      </c>
    </row>
    <row r="23" spans="7:10" ht="15" customHeight="1" x14ac:dyDescent="0.35">
      <c r="G23" s="15" t="s">
        <v>49</v>
      </c>
      <c r="H23" s="15">
        <v>72</v>
      </c>
      <c r="I23" s="15">
        <v>80.64</v>
      </c>
      <c r="J23" s="15" t="s">
        <v>45</v>
      </c>
    </row>
    <row r="24" spans="7:10" ht="23.25" customHeight="1" x14ac:dyDescent="0.35">
      <c r="G24" s="19" t="s">
        <v>50</v>
      </c>
      <c r="H24" s="19">
        <v>80</v>
      </c>
      <c r="I24" s="19">
        <v>40.909999999999997</v>
      </c>
      <c r="J24" s="19" t="s">
        <v>45</v>
      </c>
    </row>
    <row r="25" spans="7:10" ht="15" customHeight="1" x14ac:dyDescent="0.35">
      <c r="G25" s="15" t="s">
        <v>51</v>
      </c>
      <c r="H25" s="15">
        <v>89</v>
      </c>
      <c r="I25" s="15">
        <v>76.64</v>
      </c>
      <c r="J25" s="15" t="s">
        <v>45</v>
      </c>
    </row>
    <row r="26" spans="7:10" ht="15" customHeight="1" x14ac:dyDescent="0.35">
      <c r="G26" s="19" t="s">
        <v>52</v>
      </c>
      <c r="H26" s="19">
        <v>63</v>
      </c>
      <c r="I26" s="19">
        <v>40.64</v>
      </c>
      <c r="J26" s="19" t="s">
        <v>45</v>
      </c>
    </row>
    <row r="27" spans="7:10" ht="15" customHeight="1" x14ac:dyDescent="0.35">
      <c r="G27" s="15" t="s">
        <v>53</v>
      </c>
      <c r="H27" s="15">
        <v>60</v>
      </c>
      <c r="I27" s="15">
        <v>43</v>
      </c>
      <c r="J27" s="15" t="s">
        <v>45</v>
      </c>
    </row>
    <row r="28" spans="7:10" ht="15" customHeight="1" x14ac:dyDescent="0.35">
      <c r="G28" s="19" t="s">
        <v>54</v>
      </c>
      <c r="H28" s="19">
        <v>83</v>
      </c>
      <c r="I28" s="19">
        <v>69.27</v>
      </c>
      <c r="J28" s="19" t="s">
        <v>45</v>
      </c>
    </row>
    <row r="29" spans="7:10" ht="15" customHeight="1" x14ac:dyDescent="0.35">
      <c r="G29" s="15" t="s">
        <v>55</v>
      </c>
      <c r="H29" s="15">
        <v>84</v>
      </c>
      <c r="I29" s="15">
        <v>55.82</v>
      </c>
      <c r="J29" s="15" t="s">
        <v>45</v>
      </c>
    </row>
    <row r="30" spans="7:10" ht="15" customHeight="1" x14ac:dyDescent="0.35">
      <c r="G30" s="19" t="s">
        <v>56</v>
      </c>
      <c r="H30" s="19">
        <v>73</v>
      </c>
      <c r="I30" s="19">
        <v>60.18</v>
      </c>
      <c r="J30" s="19" t="s">
        <v>45</v>
      </c>
    </row>
    <row r="31" spans="7:10" ht="15" customHeight="1" x14ac:dyDescent="0.35">
      <c r="G31" s="15" t="s">
        <v>57</v>
      </c>
      <c r="H31" s="15">
        <v>70</v>
      </c>
      <c r="I31" s="15">
        <v>60.45</v>
      </c>
      <c r="J31" s="15" t="s">
        <v>45</v>
      </c>
    </row>
    <row r="32" spans="7:10" ht="15" customHeight="1" x14ac:dyDescent="0.35">
      <c r="G32" s="19" t="s">
        <v>58</v>
      </c>
      <c r="H32" s="19">
        <v>66</v>
      </c>
      <c r="I32" s="19">
        <v>41.18</v>
      </c>
      <c r="J32" s="19" t="s">
        <v>45</v>
      </c>
    </row>
    <row r="33" spans="7:10" ht="15" customHeight="1" x14ac:dyDescent="0.35">
      <c r="G33" s="15" t="s">
        <v>59</v>
      </c>
      <c r="H33" s="15">
        <v>89</v>
      </c>
      <c r="I33" s="15">
        <v>80.5</v>
      </c>
      <c r="J33" s="15" t="s">
        <v>60</v>
      </c>
    </row>
    <row r="34" spans="7:10" ht="15" customHeight="1" x14ac:dyDescent="0.35">
      <c r="G34" s="19" t="s">
        <v>61</v>
      </c>
      <c r="H34" s="19">
        <v>81</v>
      </c>
      <c r="I34" s="19">
        <v>63.9</v>
      </c>
      <c r="J34" s="19" t="s">
        <v>60</v>
      </c>
    </row>
    <row r="35" spans="7:10" ht="15" customHeight="1" x14ac:dyDescent="0.35">
      <c r="G35" s="15" t="s">
        <v>62</v>
      </c>
      <c r="H35" s="15">
        <v>85</v>
      </c>
      <c r="I35" s="15">
        <v>70</v>
      </c>
      <c r="J35" s="15" t="s">
        <v>60</v>
      </c>
    </row>
    <row r="36" spans="7:10" ht="15" customHeight="1" x14ac:dyDescent="0.35">
      <c r="G36" s="19" t="s">
        <v>63</v>
      </c>
      <c r="H36" s="19">
        <v>80</v>
      </c>
      <c r="I36" s="19">
        <v>67.5</v>
      </c>
      <c r="J36" s="19" t="s">
        <v>60</v>
      </c>
    </row>
    <row r="37" spans="7:10" ht="15" customHeight="1" x14ac:dyDescent="0.35">
      <c r="G37" s="15" t="s">
        <v>64</v>
      </c>
      <c r="H37" s="15">
        <v>96</v>
      </c>
      <c r="I37" s="15">
        <v>69.599999999999994</v>
      </c>
      <c r="J37" s="15" t="s">
        <v>60</v>
      </c>
    </row>
    <row r="38" spans="7:10" ht="15" customHeight="1" x14ac:dyDescent="0.35">
      <c r="G38" s="19" t="s">
        <v>65</v>
      </c>
      <c r="H38" s="19">
        <v>83</v>
      </c>
      <c r="I38" s="19">
        <v>83.1</v>
      </c>
      <c r="J38" s="19" t="s">
        <v>60</v>
      </c>
    </row>
    <row r="39" spans="7:10" ht="23.25" customHeight="1" x14ac:dyDescent="0.35">
      <c r="G39" s="15" t="s">
        <v>66</v>
      </c>
      <c r="H39" s="15">
        <v>96</v>
      </c>
      <c r="I39" s="15">
        <v>79.5</v>
      </c>
      <c r="J39" s="15" t="s">
        <v>60</v>
      </c>
    </row>
    <row r="40" spans="7:10" ht="15" customHeight="1" x14ac:dyDescent="0.35">
      <c r="G40" s="19" t="s">
        <v>67</v>
      </c>
      <c r="H40" s="19">
        <v>83</v>
      </c>
      <c r="I40" s="19">
        <v>57.2</v>
      </c>
      <c r="J40" s="19" t="s">
        <v>60</v>
      </c>
    </row>
    <row r="41" spans="7:10" ht="15" customHeight="1" x14ac:dyDescent="0.35">
      <c r="G41" s="15" t="s">
        <v>68</v>
      </c>
      <c r="H41" s="15">
        <v>88</v>
      </c>
      <c r="I41" s="15">
        <v>66.599999999999994</v>
      </c>
      <c r="J41" s="15" t="s">
        <v>60</v>
      </c>
    </row>
    <row r="42" spans="7:10" ht="15" customHeight="1" x14ac:dyDescent="0.35">
      <c r="G42" s="19" t="s">
        <v>69</v>
      </c>
      <c r="H42" s="19">
        <v>89</v>
      </c>
      <c r="I42" s="19">
        <v>56</v>
      </c>
      <c r="J42" s="19" t="s">
        <v>60</v>
      </c>
    </row>
    <row r="43" spans="7:10" ht="15" customHeight="1" x14ac:dyDescent="0.35">
      <c r="G43" s="15" t="s">
        <v>70</v>
      </c>
      <c r="H43" s="15">
        <v>74</v>
      </c>
      <c r="I43" s="15">
        <v>66.2</v>
      </c>
      <c r="J43" s="15" t="s">
        <v>60</v>
      </c>
    </row>
    <row r="44" spans="7:10" ht="15" customHeight="1" x14ac:dyDescent="0.35">
      <c r="G44" s="19" t="s">
        <v>71</v>
      </c>
      <c r="H44" s="19">
        <v>81</v>
      </c>
      <c r="I44" s="19">
        <v>59.1</v>
      </c>
      <c r="J44" s="19" t="s">
        <v>60</v>
      </c>
    </row>
    <row r="45" spans="7:10" ht="15" customHeight="1" x14ac:dyDescent="0.35">
      <c r="G45" s="15" t="s">
        <v>72</v>
      </c>
      <c r="H45" s="15">
        <v>67</v>
      </c>
      <c r="I45" s="15">
        <v>69.3</v>
      </c>
      <c r="J45" s="15" t="s">
        <v>60</v>
      </c>
    </row>
    <row r="46" spans="7:10" ht="15" customHeight="1" x14ac:dyDescent="0.35">
      <c r="G46" s="19" t="s">
        <v>73</v>
      </c>
      <c r="H46" s="19">
        <v>75</v>
      </c>
      <c r="I46" s="19">
        <v>75.900000000000006</v>
      </c>
      <c r="J46" s="19" t="s">
        <v>60</v>
      </c>
    </row>
    <row r="47" spans="7:10" ht="15" customHeight="1" x14ac:dyDescent="0.35">
      <c r="G47" s="15" t="s">
        <v>74</v>
      </c>
      <c r="H47" s="15">
        <v>62</v>
      </c>
      <c r="I47" s="15">
        <v>59.1</v>
      </c>
      <c r="J47" s="15" t="s">
        <v>60</v>
      </c>
    </row>
    <row r="48" spans="7:10" ht="15" customHeight="1" x14ac:dyDescent="0.35">
      <c r="G48" s="19" t="s">
        <v>75</v>
      </c>
      <c r="H48" s="19">
        <v>100</v>
      </c>
      <c r="I48" s="19">
        <v>50.7</v>
      </c>
      <c r="J48" s="19" t="s">
        <v>60</v>
      </c>
    </row>
    <row r="49" spans="7:10" ht="15" customHeight="1" x14ac:dyDescent="0.35">
      <c r="G49" s="15" t="s">
        <v>76</v>
      </c>
      <c r="H49" s="15">
        <v>86</v>
      </c>
      <c r="I49" s="15">
        <v>81.3</v>
      </c>
      <c r="J49" s="15" t="s">
        <v>60</v>
      </c>
    </row>
    <row r="50" spans="7:10" ht="15" customHeight="1" x14ac:dyDescent="0.35">
      <c r="G50" s="19" t="s">
        <v>77</v>
      </c>
      <c r="H50" s="19">
        <v>93</v>
      </c>
      <c r="I50" s="19">
        <v>51.4</v>
      </c>
      <c r="J50" s="19" t="s">
        <v>60</v>
      </c>
    </row>
    <row r="51" spans="7:10" ht="15" customHeight="1" x14ac:dyDescent="0.35">
      <c r="G51" s="15" t="s">
        <v>78</v>
      </c>
      <c r="H51" s="15">
        <v>75</v>
      </c>
      <c r="I51" s="15">
        <v>34.700000000000003</v>
      </c>
      <c r="J51" s="15" t="s">
        <v>60</v>
      </c>
    </row>
  </sheetData>
  <mergeCells count="2">
    <mergeCell ref="A1:E1"/>
    <mergeCell ref="G1:J1"/>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6"/>
  <sheetViews>
    <sheetView showGridLines="0" zoomScaleNormal="100" workbookViewId="0">
      <selection sqref="A1:H1"/>
    </sheetView>
  </sheetViews>
  <sheetFormatPr defaultColWidth="8.6328125" defaultRowHeight="14.5" x14ac:dyDescent="0.35"/>
  <cols>
    <col min="1" max="1" width="24" customWidth="1"/>
    <col min="2" max="2" width="7" customWidth="1"/>
    <col min="3" max="5" width="14" customWidth="1"/>
    <col min="6" max="6" width="20" customWidth="1"/>
    <col min="7" max="8" width="12" customWidth="1"/>
    <col min="9" max="9" width="3" customWidth="1"/>
    <col min="10" max="10" width="22" customWidth="1"/>
    <col min="11" max="13" width="14" customWidth="1"/>
  </cols>
  <sheetData>
    <row r="1" spans="1:8" ht="27.75" customHeight="1" x14ac:dyDescent="0.35">
      <c r="A1" s="91" t="s">
        <v>110</v>
      </c>
      <c r="B1" s="91"/>
      <c r="C1" s="91"/>
      <c r="D1" s="91"/>
      <c r="E1" s="91"/>
      <c r="F1" s="91"/>
      <c r="G1" s="91"/>
      <c r="H1" s="91"/>
    </row>
    <row r="3" spans="1:8" ht="21.75" customHeight="1" x14ac:dyDescent="0.35">
      <c r="A3" s="94" t="s">
        <v>111</v>
      </c>
      <c r="B3" s="94"/>
      <c r="C3" s="94"/>
      <c r="D3" s="94"/>
      <c r="E3" s="94"/>
      <c r="F3" s="94"/>
      <c r="G3" s="94"/>
      <c r="H3" s="94"/>
    </row>
    <row r="4" spans="1:8" ht="23.25" customHeight="1" x14ac:dyDescent="0.35">
      <c r="A4" s="1" t="s">
        <v>19</v>
      </c>
      <c r="B4" s="1" t="s">
        <v>20</v>
      </c>
      <c r="C4" s="1" t="s">
        <v>112</v>
      </c>
      <c r="D4" s="1" t="s">
        <v>113</v>
      </c>
      <c r="E4" s="1" t="s">
        <v>114</v>
      </c>
      <c r="F4" s="1" t="s">
        <v>115</v>
      </c>
      <c r="G4" s="1" t="s">
        <v>116</v>
      </c>
      <c r="H4" s="1" t="s">
        <v>117</v>
      </c>
    </row>
    <row r="5" spans="1:8" ht="18" customHeight="1" x14ac:dyDescent="0.35">
      <c r="A5" s="15" t="s">
        <v>27</v>
      </c>
      <c r="B5" s="15" t="s">
        <v>28</v>
      </c>
      <c r="C5" s="15">
        <v>77.400000000000006</v>
      </c>
      <c r="D5" s="16" t="str">
        <f t="shared" ref="D5:D52" si="0">IF(C5="","F",IF(C5&gt;80,"A",IF(C5&gt;=70,"B",IF(C5&gt;=60,"C",IF(C5&gt;=50,"D","F")))))</f>
        <v>B</v>
      </c>
      <c r="E5" s="15">
        <v>74.2</v>
      </c>
      <c r="F5" s="16" t="str">
        <f t="shared" ref="F5:F52" si="1">IF(E5="","F",IF(E5&gt;80,"A",IF(E5&gt;=70,"B",IF(E5&gt;=60,"C",IF(E5&gt;=50,"D","F")))))</f>
        <v>B</v>
      </c>
      <c r="G5" s="15">
        <v>-3.2</v>
      </c>
      <c r="H5" s="15" t="s">
        <v>118</v>
      </c>
    </row>
    <row r="6" spans="1:8" ht="18" customHeight="1" x14ac:dyDescent="0.35">
      <c r="A6" s="19" t="s">
        <v>29</v>
      </c>
      <c r="B6" s="19" t="s">
        <v>28</v>
      </c>
      <c r="C6" s="19">
        <v>75.8</v>
      </c>
      <c r="D6" s="16" t="str">
        <f t="shared" si="0"/>
        <v>B</v>
      </c>
      <c r="E6" s="19">
        <v>74.2</v>
      </c>
      <c r="F6" s="16" t="str">
        <f t="shared" si="1"/>
        <v>B</v>
      </c>
      <c r="G6" s="19">
        <v>-1.6</v>
      </c>
      <c r="H6" s="19" t="s">
        <v>118</v>
      </c>
    </row>
    <row r="7" spans="1:8" ht="18" customHeight="1" x14ac:dyDescent="0.35">
      <c r="A7" s="15" t="s">
        <v>30</v>
      </c>
      <c r="B7" s="15" t="s">
        <v>28</v>
      </c>
      <c r="C7" s="15">
        <v>55.4</v>
      </c>
      <c r="D7" s="21" t="str">
        <f t="shared" si="0"/>
        <v>D</v>
      </c>
      <c r="E7" s="15">
        <v>43.3</v>
      </c>
      <c r="F7" s="23" t="str">
        <f t="shared" si="1"/>
        <v>F</v>
      </c>
      <c r="G7" s="15">
        <v>-12.1</v>
      </c>
      <c r="H7" s="15" t="s">
        <v>118</v>
      </c>
    </row>
    <row r="8" spans="1:8" ht="18" customHeight="1" x14ac:dyDescent="0.35">
      <c r="A8" s="19" t="s">
        <v>31</v>
      </c>
      <c r="B8" s="19" t="s">
        <v>28</v>
      </c>
      <c r="C8" s="19">
        <v>56.7</v>
      </c>
      <c r="D8" s="21" t="str">
        <f t="shared" si="0"/>
        <v>D</v>
      </c>
      <c r="E8" s="19">
        <v>52.4</v>
      </c>
      <c r="F8" s="21" t="str">
        <f t="shared" si="1"/>
        <v>D</v>
      </c>
      <c r="G8" s="19">
        <v>-4.3</v>
      </c>
      <c r="H8" s="19" t="s">
        <v>118</v>
      </c>
    </row>
    <row r="9" spans="1:8" ht="18" customHeight="1" x14ac:dyDescent="0.35">
      <c r="A9" s="15" t="s">
        <v>32</v>
      </c>
      <c r="B9" s="15" t="s">
        <v>28</v>
      </c>
      <c r="C9" s="15">
        <v>42.5</v>
      </c>
      <c r="D9" s="23" t="str">
        <f t="shared" si="0"/>
        <v>F</v>
      </c>
      <c r="E9" s="15">
        <v>50.7</v>
      </c>
      <c r="F9" s="21" t="str">
        <f t="shared" si="1"/>
        <v>D</v>
      </c>
      <c r="G9" s="15">
        <v>8.1999999999999993</v>
      </c>
      <c r="H9" s="15" t="s">
        <v>118</v>
      </c>
    </row>
    <row r="10" spans="1:8" ht="18" customHeight="1" x14ac:dyDescent="0.35">
      <c r="A10" s="19" t="s">
        <v>33</v>
      </c>
      <c r="B10" s="19" t="s">
        <v>28</v>
      </c>
      <c r="C10" s="19">
        <v>63.5</v>
      </c>
      <c r="D10" s="24" t="str">
        <f t="shared" si="0"/>
        <v>C</v>
      </c>
      <c r="E10" s="19">
        <v>69.8</v>
      </c>
      <c r="F10" s="24" t="str">
        <f t="shared" si="1"/>
        <v>C</v>
      </c>
      <c r="G10" s="19">
        <v>6.3</v>
      </c>
      <c r="H10" s="19" t="s">
        <v>118</v>
      </c>
    </row>
    <row r="11" spans="1:8" ht="18" customHeight="1" x14ac:dyDescent="0.35">
      <c r="A11" s="15" t="s">
        <v>34</v>
      </c>
      <c r="B11" s="15" t="s">
        <v>28</v>
      </c>
      <c r="C11" s="15">
        <v>78.8</v>
      </c>
      <c r="D11" s="16" t="str">
        <f t="shared" si="0"/>
        <v>B</v>
      </c>
      <c r="E11" s="15">
        <v>75.8</v>
      </c>
      <c r="F11" s="16" t="str">
        <f t="shared" si="1"/>
        <v>B</v>
      </c>
      <c r="G11" s="15">
        <v>-3</v>
      </c>
      <c r="H11" s="15" t="s">
        <v>118</v>
      </c>
    </row>
    <row r="12" spans="1:8" ht="18" customHeight="1" x14ac:dyDescent="0.35">
      <c r="A12" s="19" t="s">
        <v>35</v>
      </c>
      <c r="B12" s="19" t="s">
        <v>28</v>
      </c>
      <c r="C12" s="19">
        <v>53.7</v>
      </c>
      <c r="D12" s="21" t="str">
        <f t="shared" si="0"/>
        <v>D</v>
      </c>
      <c r="E12" s="19">
        <v>40.700000000000003</v>
      </c>
      <c r="F12" s="23" t="str">
        <f t="shared" si="1"/>
        <v>F</v>
      </c>
      <c r="G12" s="19">
        <v>-13</v>
      </c>
      <c r="H12" s="19" t="s">
        <v>118</v>
      </c>
    </row>
    <row r="13" spans="1:8" ht="18" customHeight="1" x14ac:dyDescent="0.35">
      <c r="A13" s="15" t="s">
        <v>36</v>
      </c>
      <c r="B13" s="15" t="s">
        <v>28</v>
      </c>
      <c r="C13" s="15">
        <v>67.900000000000006</v>
      </c>
      <c r="D13" s="24" t="str">
        <f t="shared" si="0"/>
        <v>C</v>
      </c>
      <c r="E13" s="15">
        <v>70.900000000000006</v>
      </c>
      <c r="F13" s="16" t="str">
        <f t="shared" si="1"/>
        <v>B</v>
      </c>
      <c r="G13" s="15">
        <v>3</v>
      </c>
      <c r="H13" s="15" t="s">
        <v>118</v>
      </c>
    </row>
    <row r="14" spans="1:8" ht="18" customHeight="1" x14ac:dyDescent="0.35">
      <c r="A14" s="19" t="s">
        <v>37</v>
      </c>
      <c r="B14" s="19" t="s">
        <v>28</v>
      </c>
      <c r="C14" s="19">
        <v>67.3</v>
      </c>
      <c r="D14" s="24" t="str">
        <f t="shared" si="0"/>
        <v>C</v>
      </c>
      <c r="E14" s="19">
        <v>71.400000000000006</v>
      </c>
      <c r="F14" s="16" t="str">
        <f t="shared" si="1"/>
        <v>B</v>
      </c>
      <c r="G14" s="19">
        <v>4.0999999999999996</v>
      </c>
      <c r="H14" s="19" t="s">
        <v>118</v>
      </c>
    </row>
    <row r="15" spans="1:8" ht="18" customHeight="1" x14ac:dyDescent="0.35">
      <c r="A15" s="15" t="s">
        <v>38</v>
      </c>
      <c r="B15" s="15" t="s">
        <v>28</v>
      </c>
      <c r="C15" s="15">
        <v>63.8</v>
      </c>
      <c r="D15" s="24" t="str">
        <f t="shared" si="0"/>
        <v>C</v>
      </c>
      <c r="E15" s="15">
        <v>65.099999999999994</v>
      </c>
      <c r="F15" s="24" t="str">
        <f t="shared" si="1"/>
        <v>C</v>
      </c>
      <c r="G15" s="15">
        <v>1.3</v>
      </c>
      <c r="H15" s="15" t="s">
        <v>118</v>
      </c>
    </row>
    <row r="16" spans="1:8" ht="18" customHeight="1" x14ac:dyDescent="0.35">
      <c r="A16" s="19" t="s">
        <v>39</v>
      </c>
      <c r="B16" s="19" t="s">
        <v>28</v>
      </c>
      <c r="C16" s="19">
        <v>44.6</v>
      </c>
      <c r="D16" s="23" t="str">
        <f t="shared" si="0"/>
        <v>F</v>
      </c>
      <c r="E16" s="19">
        <v>32.299999999999997</v>
      </c>
      <c r="F16" s="23" t="str">
        <f t="shared" si="1"/>
        <v>F</v>
      </c>
      <c r="G16" s="19">
        <v>-12.3</v>
      </c>
      <c r="H16" s="19" t="s">
        <v>118</v>
      </c>
    </row>
    <row r="17" spans="1:8" ht="18" customHeight="1" x14ac:dyDescent="0.35">
      <c r="A17" s="15" t="s">
        <v>40</v>
      </c>
      <c r="B17" s="15" t="s">
        <v>28</v>
      </c>
      <c r="C17" s="15">
        <v>54.2</v>
      </c>
      <c r="D17" s="21" t="str">
        <f t="shared" si="0"/>
        <v>D</v>
      </c>
      <c r="E17" s="15">
        <v>57.3</v>
      </c>
      <c r="F17" s="21" t="str">
        <f t="shared" si="1"/>
        <v>D</v>
      </c>
      <c r="G17" s="15">
        <v>3.1</v>
      </c>
      <c r="H17" s="15" t="s">
        <v>118</v>
      </c>
    </row>
    <row r="18" spans="1:8" ht="18" customHeight="1" x14ac:dyDescent="0.35">
      <c r="A18" s="19" t="s">
        <v>41</v>
      </c>
      <c r="B18" s="19" t="s">
        <v>28</v>
      </c>
      <c r="C18" s="19">
        <v>50.7</v>
      </c>
      <c r="D18" s="21" t="str">
        <f t="shared" si="0"/>
        <v>D</v>
      </c>
      <c r="E18" s="19">
        <v>51.8</v>
      </c>
      <c r="F18" s="21" t="str">
        <f t="shared" si="1"/>
        <v>D</v>
      </c>
      <c r="G18" s="19">
        <v>1.1000000000000001</v>
      </c>
      <c r="H18" s="19" t="s">
        <v>118</v>
      </c>
    </row>
    <row r="19" spans="1:8" ht="18" customHeight="1" x14ac:dyDescent="0.35">
      <c r="A19" s="15" t="s">
        <v>42</v>
      </c>
      <c r="B19" s="15" t="s">
        <v>28</v>
      </c>
      <c r="C19" s="15">
        <v>55</v>
      </c>
      <c r="D19" s="21" t="str">
        <f t="shared" si="0"/>
        <v>D</v>
      </c>
      <c r="E19" s="15">
        <v>44</v>
      </c>
      <c r="F19" s="23" t="str">
        <f t="shared" si="1"/>
        <v>F</v>
      </c>
      <c r="G19" s="15">
        <v>-11</v>
      </c>
      <c r="H19" s="15" t="s">
        <v>118</v>
      </c>
    </row>
    <row r="20" spans="1:8" ht="18" customHeight="1" x14ac:dyDescent="0.35">
      <c r="A20" s="19" t="s">
        <v>43</v>
      </c>
      <c r="B20" s="19" t="s">
        <v>28</v>
      </c>
      <c r="C20" s="19">
        <v>73.5</v>
      </c>
      <c r="D20" s="16" t="str">
        <f t="shared" si="0"/>
        <v>B</v>
      </c>
      <c r="E20" s="19">
        <v>66</v>
      </c>
      <c r="F20" s="24" t="str">
        <f t="shared" si="1"/>
        <v>C</v>
      </c>
      <c r="G20" s="19">
        <v>-7.5</v>
      </c>
      <c r="H20" s="19" t="s">
        <v>118</v>
      </c>
    </row>
    <row r="21" spans="1:8" ht="18" customHeight="1" x14ac:dyDescent="0.35">
      <c r="A21" s="15" t="s">
        <v>44</v>
      </c>
      <c r="B21" s="15" t="s">
        <v>45</v>
      </c>
      <c r="C21" s="15">
        <v>64.2</v>
      </c>
      <c r="D21" s="24" t="str">
        <f t="shared" si="0"/>
        <v>C</v>
      </c>
      <c r="E21" s="15">
        <v>69.5</v>
      </c>
      <c r="F21" s="24" t="str">
        <f t="shared" si="1"/>
        <v>C</v>
      </c>
      <c r="G21" s="15">
        <v>5.3</v>
      </c>
      <c r="H21" s="15" t="s">
        <v>118</v>
      </c>
    </row>
    <row r="22" spans="1:8" ht="18" customHeight="1" x14ac:dyDescent="0.35">
      <c r="A22" s="19" t="s">
        <v>46</v>
      </c>
      <c r="B22" s="19" t="s">
        <v>45</v>
      </c>
      <c r="C22" s="19">
        <v>73.599999999999994</v>
      </c>
      <c r="D22" s="16" t="str">
        <f t="shared" si="0"/>
        <v>B</v>
      </c>
      <c r="E22" s="19">
        <v>73.900000000000006</v>
      </c>
      <c r="F22" s="16" t="str">
        <f t="shared" si="1"/>
        <v>B</v>
      </c>
      <c r="G22" s="19">
        <v>0.3</v>
      </c>
      <c r="H22" s="19" t="s">
        <v>118</v>
      </c>
    </row>
    <row r="23" spans="1:8" ht="18" customHeight="1" x14ac:dyDescent="0.35">
      <c r="A23" s="15" t="s">
        <v>47</v>
      </c>
      <c r="B23" s="15" t="s">
        <v>45</v>
      </c>
      <c r="C23" s="15">
        <v>54.8</v>
      </c>
      <c r="D23" s="21" t="str">
        <f t="shared" si="0"/>
        <v>D</v>
      </c>
      <c r="E23" s="15">
        <v>58</v>
      </c>
      <c r="F23" s="21" t="str">
        <f t="shared" si="1"/>
        <v>D</v>
      </c>
      <c r="G23" s="15">
        <v>3.2</v>
      </c>
      <c r="H23" s="15" t="s">
        <v>118</v>
      </c>
    </row>
    <row r="24" spans="1:8" ht="18" customHeight="1" x14ac:dyDescent="0.35">
      <c r="A24" s="19" t="s">
        <v>48</v>
      </c>
      <c r="B24" s="19" t="s">
        <v>45</v>
      </c>
      <c r="C24" s="19">
        <v>52.4</v>
      </c>
      <c r="D24" s="21" t="str">
        <f t="shared" si="0"/>
        <v>D</v>
      </c>
      <c r="E24" s="19">
        <v>46.7</v>
      </c>
      <c r="F24" s="23" t="str">
        <f t="shared" si="1"/>
        <v>F</v>
      </c>
      <c r="G24" s="19">
        <v>-5.7</v>
      </c>
      <c r="H24" s="19" t="s">
        <v>118</v>
      </c>
    </row>
    <row r="25" spans="1:8" ht="18" customHeight="1" x14ac:dyDescent="0.35">
      <c r="A25" s="15" t="s">
        <v>49</v>
      </c>
      <c r="B25" s="15" t="s">
        <v>45</v>
      </c>
      <c r="C25" s="15">
        <v>80.400000000000006</v>
      </c>
      <c r="D25" s="25" t="str">
        <f t="shared" si="0"/>
        <v>A</v>
      </c>
      <c r="E25" s="15">
        <v>78</v>
      </c>
      <c r="F25" s="16" t="str">
        <f t="shared" si="1"/>
        <v>B</v>
      </c>
      <c r="G25" s="15">
        <v>-2.4</v>
      </c>
      <c r="H25" s="15" t="s">
        <v>118</v>
      </c>
    </row>
    <row r="26" spans="1:8" ht="18" customHeight="1" x14ac:dyDescent="0.35">
      <c r="A26" s="19" t="s">
        <v>50</v>
      </c>
      <c r="B26" s="19" t="s">
        <v>45</v>
      </c>
      <c r="C26" s="19">
        <v>40.4</v>
      </c>
      <c r="D26" s="23" t="str">
        <f t="shared" si="0"/>
        <v>F</v>
      </c>
      <c r="E26" s="19">
        <v>37.1</v>
      </c>
      <c r="F26" s="23" t="str">
        <f t="shared" si="1"/>
        <v>F</v>
      </c>
      <c r="G26" s="19">
        <v>-3.3</v>
      </c>
      <c r="H26" s="19" t="s">
        <v>118</v>
      </c>
    </row>
    <row r="27" spans="1:8" ht="18" customHeight="1" x14ac:dyDescent="0.35">
      <c r="A27" s="15" t="s">
        <v>51</v>
      </c>
      <c r="B27" s="15" t="s">
        <v>45</v>
      </c>
      <c r="C27" s="15">
        <v>75.599999999999994</v>
      </c>
      <c r="D27" s="16" t="str">
        <f t="shared" si="0"/>
        <v>B</v>
      </c>
      <c r="E27" s="15">
        <v>77.400000000000006</v>
      </c>
      <c r="F27" s="16" t="str">
        <f t="shared" si="1"/>
        <v>B</v>
      </c>
      <c r="G27" s="15">
        <v>1.8</v>
      </c>
      <c r="H27" s="15" t="s">
        <v>118</v>
      </c>
    </row>
    <row r="28" spans="1:8" ht="18" customHeight="1" x14ac:dyDescent="0.35">
      <c r="A28" s="19" t="s">
        <v>52</v>
      </c>
      <c r="B28" s="19" t="s">
        <v>45</v>
      </c>
      <c r="C28" s="19">
        <v>42.1</v>
      </c>
      <c r="D28" s="23" t="str">
        <f t="shared" si="0"/>
        <v>F</v>
      </c>
      <c r="E28" s="19">
        <v>37.700000000000003</v>
      </c>
      <c r="F28" s="23" t="str">
        <f t="shared" si="1"/>
        <v>F</v>
      </c>
      <c r="G28" s="19">
        <v>-4.4000000000000004</v>
      </c>
      <c r="H28" s="19" t="s">
        <v>118</v>
      </c>
    </row>
    <row r="29" spans="1:8" ht="18" customHeight="1" x14ac:dyDescent="0.35">
      <c r="A29" s="15" t="s">
        <v>53</v>
      </c>
      <c r="B29" s="15" t="s">
        <v>45</v>
      </c>
      <c r="C29" s="15">
        <v>45.2</v>
      </c>
      <c r="D29" s="23" t="str">
        <f t="shared" si="0"/>
        <v>F</v>
      </c>
      <c r="E29" s="15">
        <v>40.4</v>
      </c>
      <c r="F29" s="23" t="str">
        <f t="shared" si="1"/>
        <v>F</v>
      </c>
      <c r="G29" s="15">
        <v>-4.8</v>
      </c>
      <c r="H29" s="15" t="s">
        <v>118</v>
      </c>
    </row>
    <row r="30" spans="1:8" ht="18" customHeight="1" x14ac:dyDescent="0.35">
      <c r="A30" s="19" t="s">
        <v>54</v>
      </c>
      <c r="B30" s="19" t="s">
        <v>45</v>
      </c>
      <c r="C30" s="19">
        <v>69.2</v>
      </c>
      <c r="D30" s="24" t="str">
        <f t="shared" si="0"/>
        <v>C</v>
      </c>
      <c r="E30" s="19">
        <v>64.099999999999994</v>
      </c>
      <c r="F30" s="24" t="str">
        <f t="shared" si="1"/>
        <v>C</v>
      </c>
      <c r="G30" s="19">
        <v>-5.0999999999999996</v>
      </c>
      <c r="H30" s="19" t="s">
        <v>118</v>
      </c>
    </row>
    <row r="31" spans="1:8" ht="18" customHeight="1" x14ac:dyDescent="0.35">
      <c r="A31" s="15" t="s">
        <v>55</v>
      </c>
      <c r="B31" s="15" t="s">
        <v>45</v>
      </c>
      <c r="C31" s="15">
        <v>54.3</v>
      </c>
      <c r="D31" s="21" t="str">
        <f t="shared" si="0"/>
        <v>D</v>
      </c>
      <c r="E31" s="15">
        <v>53.8</v>
      </c>
      <c r="F31" s="21" t="str">
        <f t="shared" si="1"/>
        <v>D</v>
      </c>
      <c r="G31" s="15">
        <v>-0.5</v>
      </c>
      <c r="H31" s="15" t="s">
        <v>118</v>
      </c>
    </row>
    <row r="32" spans="1:8" ht="18" customHeight="1" x14ac:dyDescent="0.35">
      <c r="A32" s="19" t="s">
        <v>56</v>
      </c>
      <c r="B32" s="19" t="s">
        <v>45</v>
      </c>
      <c r="C32" s="19">
        <v>58.7</v>
      </c>
      <c r="D32" s="21" t="str">
        <f t="shared" si="0"/>
        <v>D</v>
      </c>
      <c r="E32" s="19">
        <v>58.4</v>
      </c>
      <c r="F32" s="21" t="str">
        <f t="shared" si="1"/>
        <v>D</v>
      </c>
      <c r="G32" s="19">
        <v>-0.3</v>
      </c>
      <c r="H32" s="19" t="s">
        <v>118</v>
      </c>
    </row>
    <row r="33" spans="1:8" ht="18" customHeight="1" x14ac:dyDescent="0.35">
      <c r="A33" s="15" t="s">
        <v>119</v>
      </c>
      <c r="B33" s="15" t="s">
        <v>45</v>
      </c>
      <c r="C33" s="15">
        <v>73</v>
      </c>
      <c r="D33" s="16" t="str">
        <f t="shared" si="0"/>
        <v>B</v>
      </c>
      <c r="E33" s="15">
        <v>39.9</v>
      </c>
      <c r="F33" s="23" t="str">
        <f t="shared" si="1"/>
        <v>F</v>
      </c>
      <c r="G33" s="15">
        <v>-33.1</v>
      </c>
      <c r="H33" s="34" t="s">
        <v>120</v>
      </c>
    </row>
    <row r="34" spans="1:8" ht="18" customHeight="1" x14ac:dyDescent="0.35">
      <c r="A34" s="19" t="s">
        <v>121</v>
      </c>
      <c r="B34" s="19" t="s">
        <v>45</v>
      </c>
      <c r="C34" s="19">
        <v>38.200000000000003</v>
      </c>
      <c r="D34" s="23" t="str">
        <f t="shared" si="0"/>
        <v>F</v>
      </c>
      <c r="E34" s="19">
        <v>44.1</v>
      </c>
      <c r="F34" s="23" t="str">
        <f t="shared" si="1"/>
        <v>F</v>
      </c>
      <c r="G34" s="19">
        <v>5.9</v>
      </c>
      <c r="H34" s="19" t="s">
        <v>118</v>
      </c>
    </row>
    <row r="35" spans="1:8" ht="18" customHeight="1" x14ac:dyDescent="0.35">
      <c r="A35" s="15" t="s">
        <v>59</v>
      </c>
      <c r="B35" s="15" t="s">
        <v>60</v>
      </c>
      <c r="C35" s="15">
        <v>77.8</v>
      </c>
      <c r="D35" s="16" t="str">
        <f t="shared" si="0"/>
        <v>B</v>
      </c>
      <c r="E35" s="15">
        <v>84.6</v>
      </c>
      <c r="F35" s="25" t="str">
        <f t="shared" si="1"/>
        <v>A</v>
      </c>
      <c r="G35" s="15">
        <v>6.8</v>
      </c>
      <c r="H35" s="15" t="s">
        <v>118</v>
      </c>
    </row>
    <row r="36" spans="1:8" ht="18" customHeight="1" x14ac:dyDescent="0.35">
      <c r="A36" s="19" t="s">
        <v>61</v>
      </c>
      <c r="B36" s="19" t="s">
        <v>60</v>
      </c>
      <c r="C36" s="19">
        <v>62.6</v>
      </c>
      <c r="D36" s="24" t="str">
        <f t="shared" si="0"/>
        <v>C</v>
      </c>
      <c r="E36" s="19">
        <v>65.900000000000006</v>
      </c>
      <c r="F36" s="24" t="str">
        <f t="shared" si="1"/>
        <v>C</v>
      </c>
      <c r="G36" s="19">
        <v>3.3</v>
      </c>
      <c r="H36" s="19" t="s">
        <v>118</v>
      </c>
    </row>
    <row r="37" spans="1:8" ht="18" customHeight="1" x14ac:dyDescent="0.35">
      <c r="A37" s="15" t="s">
        <v>122</v>
      </c>
      <c r="B37" s="15" t="s">
        <v>60</v>
      </c>
      <c r="C37" s="15">
        <v>69.3</v>
      </c>
      <c r="D37" s="24" t="str">
        <f t="shared" si="0"/>
        <v>C</v>
      </c>
      <c r="E37" s="15">
        <v>71</v>
      </c>
      <c r="F37" s="16" t="str">
        <f t="shared" si="1"/>
        <v>B</v>
      </c>
      <c r="G37" s="15">
        <v>1.7</v>
      </c>
      <c r="H37" s="15" t="s">
        <v>118</v>
      </c>
    </row>
    <row r="38" spans="1:8" ht="18" customHeight="1" x14ac:dyDescent="0.35">
      <c r="A38" s="19" t="s">
        <v>63</v>
      </c>
      <c r="B38" s="19" t="s">
        <v>60</v>
      </c>
      <c r="C38" s="19">
        <v>63.2</v>
      </c>
      <c r="D38" s="24" t="str">
        <f t="shared" si="0"/>
        <v>C</v>
      </c>
      <c r="E38" s="19">
        <v>73.8</v>
      </c>
      <c r="F38" s="16" t="str">
        <f t="shared" si="1"/>
        <v>B</v>
      </c>
      <c r="G38" s="19">
        <v>10.6</v>
      </c>
      <c r="H38" s="19" t="s">
        <v>118</v>
      </c>
    </row>
    <row r="39" spans="1:8" ht="18" customHeight="1" x14ac:dyDescent="0.35">
      <c r="A39" s="15" t="s">
        <v>64</v>
      </c>
      <c r="B39" s="15" t="s">
        <v>60</v>
      </c>
      <c r="C39" s="15">
        <v>67.2</v>
      </c>
      <c r="D39" s="24" t="str">
        <f t="shared" si="0"/>
        <v>C</v>
      </c>
      <c r="E39" s="15">
        <v>73.3</v>
      </c>
      <c r="F39" s="16" t="str">
        <f t="shared" si="1"/>
        <v>B</v>
      </c>
      <c r="G39" s="15">
        <v>6.1</v>
      </c>
      <c r="H39" s="15" t="s">
        <v>118</v>
      </c>
    </row>
    <row r="40" spans="1:8" ht="18" customHeight="1" x14ac:dyDescent="0.35">
      <c r="A40" s="19" t="s">
        <v>65</v>
      </c>
      <c r="B40" s="19" t="s">
        <v>60</v>
      </c>
      <c r="C40" s="19">
        <v>81.3</v>
      </c>
      <c r="D40" s="25" t="str">
        <f t="shared" si="0"/>
        <v>A</v>
      </c>
      <c r="E40" s="19">
        <v>85.9</v>
      </c>
      <c r="F40" s="25" t="str">
        <f t="shared" si="1"/>
        <v>A</v>
      </c>
      <c r="G40" s="19">
        <v>4.5999999999999996</v>
      </c>
      <c r="H40" s="19" t="s">
        <v>118</v>
      </c>
    </row>
    <row r="41" spans="1:8" ht="18" customHeight="1" x14ac:dyDescent="0.35">
      <c r="A41" s="15" t="s">
        <v>66</v>
      </c>
      <c r="B41" s="15" t="s">
        <v>60</v>
      </c>
      <c r="C41" s="15">
        <v>79.3</v>
      </c>
      <c r="D41" s="16" t="str">
        <f t="shared" si="0"/>
        <v>B</v>
      </c>
      <c r="E41" s="15">
        <v>79.7</v>
      </c>
      <c r="F41" s="16" t="str">
        <f t="shared" si="1"/>
        <v>B</v>
      </c>
      <c r="G41" s="15">
        <v>0.4</v>
      </c>
      <c r="H41" s="15" t="s">
        <v>118</v>
      </c>
    </row>
    <row r="42" spans="1:8" ht="18" customHeight="1" x14ac:dyDescent="0.35">
      <c r="A42" s="19" t="s">
        <v>67</v>
      </c>
      <c r="B42" s="19" t="s">
        <v>60</v>
      </c>
      <c r="C42" s="19">
        <v>64.2</v>
      </c>
      <c r="D42" s="24" t="str">
        <f t="shared" si="0"/>
        <v>C</v>
      </c>
      <c r="E42" s="19">
        <v>47</v>
      </c>
      <c r="F42" s="23" t="str">
        <f t="shared" si="1"/>
        <v>F</v>
      </c>
      <c r="G42" s="19">
        <v>-17.2</v>
      </c>
      <c r="H42" s="35" t="s">
        <v>120</v>
      </c>
    </row>
    <row r="43" spans="1:8" ht="18" customHeight="1" x14ac:dyDescent="0.35">
      <c r="A43" s="15" t="s">
        <v>68</v>
      </c>
      <c r="B43" s="15" t="s">
        <v>60</v>
      </c>
      <c r="C43" s="15">
        <v>67.2</v>
      </c>
      <c r="D43" s="24" t="str">
        <f t="shared" si="0"/>
        <v>C</v>
      </c>
      <c r="E43" s="15">
        <v>65.8</v>
      </c>
      <c r="F43" s="24" t="str">
        <f t="shared" si="1"/>
        <v>C</v>
      </c>
      <c r="G43" s="15">
        <v>-1.4</v>
      </c>
      <c r="H43" s="15" t="s">
        <v>118</v>
      </c>
    </row>
    <row r="44" spans="1:8" ht="18" customHeight="1" x14ac:dyDescent="0.35">
      <c r="A44" s="19" t="s">
        <v>69</v>
      </c>
      <c r="B44" s="19" t="s">
        <v>60</v>
      </c>
      <c r="C44" s="19">
        <v>54.1</v>
      </c>
      <c r="D44" s="21" t="str">
        <f t="shared" si="0"/>
        <v>D</v>
      </c>
      <c r="E44" s="19">
        <v>58.9</v>
      </c>
      <c r="F44" s="21" t="str">
        <f t="shared" si="1"/>
        <v>D</v>
      </c>
      <c r="G44" s="19">
        <v>4.8</v>
      </c>
      <c r="H44" s="19" t="s">
        <v>118</v>
      </c>
    </row>
    <row r="45" spans="1:8" ht="18" customHeight="1" x14ac:dyDescent="0.35">
      <c r="A45" s="15" t="s">
        <v>70</v>
      </c>
      <c r="B45" s="15" t="s">
        <v>60</v>
      </c>
      <c r="C45" s="15">
        <v>63.6</v>
      </c>
      <c r="D45" s="24" t="str">
        <f t="shared" si="0"/>
        <v>C</v>
      </c>
      <c r="E45" s="15">
        <v>70.5</v>
      </c>
      <c r="F45" s="16" t="str">
        <f t="shared" si="1"/>
        <v>B</v>
      </c>
      <c r="G45" s="15">
        <v>6.9</v>
      </c>
      <c r="H45" s="15" t="s">
        <v>118</v>
      </c>
    </row>
    <row r="46" spans="1:8" ht="18" customHeight="1" x14ac:dyDescent="0.35">
      <c r="A46" s="19" t="s">
        <v>71</v>
      </c>
      <c r="B46" s="19" t="s">
        <v>60</v>
      </c>
      <c r="C46" s="19">
        <v>56.2</v>
      </c>
      <c r="D46" s="21" t="str">
        <f t="shared" si="0"/>
        <v>D</v>
      </c>
      <c r="E46" s="19">
        <v>63.2</v>
      </c>
      <c r="F46" s="24" t="str">
        <f t="shared" si="1"/>
        <v>C</v>
      </c>
      <c r="G46" s="19">
        <v>7</v>
      </c>
      <c r="H46" s="19" t="s">
        <v>118</v>
      </c>
    </row>
    <row r="47" spans="1:8" ht="18" customHeight="1" x14ac:dyDescent="0.35">
      <c r="A47" s="15" t="s">
        <v>72</v>
      </c>
      <c r="B47" s="15" t="s">
        <v>60</v>
      </c>
      <c r="C47" s="15">
        <v>83.2</v>
      </c>
      <c r="D47" s="25" t="str">
        <f t="shared" si="0"/>
        <v>A</v>
      </c>
      <c r="E47" s="15">
        <v>48.6</v>
      </c>
      <c r="F47" s="23" t="str">
        <f t="shared" si="1"/>
        <v>F</v>
      </c>
      <c r="G47" s="15">
        <v>-34.6</v>
      </c>
      <c r="H47" s="34" t="s">
        <v>120</v>
      </c>
    </row>
    <row r="48" spans="1:8" ht="18" customHeight="1" x14ac:dyDescent="0.35">
      <c r="A48" s="19" t="s">
        <v>73</v>
      </c>
      <c r="B48" s="19" t="s">
        <v>60</v>
      </c>
      <c r="C48" s="19">
        <v>70.2</v>
      </c>
      <c r="D48" s="16" t="str">
        <f t="shared" si="0"/>
        <v>B</v>
      </c>
      <c r="E48" s="19">
        <v>84.9</v>
      </c>
      <c r="F48" s="25" t="str">
        <f t="shared" si="1"/>
        <v>A</v>
      </c>
      <c r="G48" s="19">
        <v>14.7</v>
      </c>
      <c r="H48" s="19" t="s">
        <v>118</v>
      </c>
    </row>
    <row r="49" spans="1:8" ht="18" customHeight="1" x14ac:dyDescent="0.35">
      <c r="A49" s="15" t="s">
        <v>74</v>
      </c>
      <c r="B49" s="15" t="s">
        <v>60</v>
      </c>
      <c r="C49" s="15">
        <v>55.5</v>
      </c>
      <c r="D49" s="21" t="str">
        <f t="shared" si="0"/>
        <v>D</v>
      </c>
      <c r="E49" s="15">
        <v>64.400000000000006</v>
      </c>
      <c r="F49" s="24" t="str">
        <f t="shared" si="1"/>
        <v>C</v>
      </c>
      <c r="G49" s="15">
        <v>8.9</v>
      </c>
      <c r="H49" s="15" t="s">
        <v>118</v>
      </c>
    </row>
    <row r="50" spans="1:8" ht="18" customHeight="1" x14ac:dyDescent="0.35">
      <c r="A50" s="19" t="s">
        <v>76</v>
      </c>
      <c r="B50" s="19" t="s">
        <v>60</v>
      </c>
      <c r="C50" s="19">
        <v>78.599999999999994</v>
      </c>
      <c r="D50" s="16" t="str">
        <f t="shared" si="0"/>
        <v>B</v>
      </c>
      <c r="E50" s="19">
        <v>85.8</v>
      </c>
      <c r="F50" s="25" t="str">
        <f t="shared" si="1"/>
        <v>A</v>
      </c>
      <c r="G50" s="19">
        <v>7.2</v>
      </c>
      <c r="H50" s="19" t="s">
        <v>118</v>
      </c>
    </row>
    <row r="51" spans="1:8" ht="18" customHeight="1" x14ac:dyDescent="0.35">
      <c r="A51" s="15" t="s">
        <v>77</v>
      </c>
      <c r="B51" s="15" t="s">
        <v>60</v>
      </c>
      <c r="C51" s="15">
        <v>47.8</v>
      </c>
      <c r="D51" s="23" t="str">
        <f t="shared" si="0"/>
        <v>F</v>
      </c>
      <c r="E51" s="15">
        <v>56.8</v>
      </c>
      <c r="F51" s="21" t="str">
        <f t="shared" si="1"/>
        <v>D</v>
      </c>
      <c r="G51" s="15">
        <v>9</v>
      </c>
      <c r="H51" s="15" t="s">
        <v>118</v>
      </c>
    </row>
    <row r="52" spans="1:8" ht="18" customHeight="1" x14ac:dyDescent="0.35">
      <c r="A52" s="19" t="s">
        <v>75</v>
      </c>
      <c r="B52" s="19" t="s">
        <v>60</v>
      </c>
      <c r="C52" s="19">
        <v>46.4</v>
      </c>
      <c r="D52" s="23" t="str">
        <f t="shared" si="0"/>
        <v>F</v>
      </c>
      <c r="E52" s="19">
        <v>57.5</v>
      </c>
      <c r="F52" s="21" t="str">
        <f t="shared" si="1"/>
        <v>D</v>
      </c>
      <c r="G52" s="19">
        <v>11.1</v>
      </c>
      <c r="H52" s="19" t="s">
        <v>118</v>
      </c>
    </row>
    <row r="55" spans="1:8" ht="21.75" customHeight="1" x14ac:dyDescent="0.35">
      <c r="A55" s="95" t="s">
        <v>123</v>
      </c>
      <c r="B55" s="95"/>
      <c r="C55" s="95"/>
      <c r="D55" s="95"/>
      <c r="E55" s="95"/>
      <c r="F55" s="95"/>
      <c r="G55" s="95"/>
      <c r="H55" s="95"/>
    </row>
    <row r="56" spans="1:8" ht="15" customHeight="1" x14ac:dyDescent="0.35">
      <c r="A56" s="10" t="s">
        <v>124</v>
      </c>
      <c r="B56" s="10" t="s">
        <v>125</v>
      </c>
      <c r="C56" s="10"/>
      <c r="D56" s="10"/>
      <c r="E56" s="10"/>
      <c r="F56" s="10"/>
      <c r="G56" s="10"/>
      <c r="H56" s="10"/>
    </row>
    <row r="57" spans="1:8" ht="21.75" customHeight="1" x14ac:dyDescent="0.35">
      <c r="A57" s="105" t="s">
        <v>126</v>
      </c>
      <c r="B57" s="105"/>
      <c r="C57" s="105"/>
      <c r="D57" s="105"/>
      <c r="E57" s="107">
        <f>AVERAGE(C5:C52)</f>
        <v>62.304166666666646</v>
      </c>
      <c r="F57" s="107"/>
      <c r="G57" s="107"/>
      <c r="H57" s="107"/>
    </row>
    <row r="58" spans="1:8" ht="21.75" customHeight="1" x14ac:dyDescent="0.35">
      <c r="A58" s="105" t="s">
        <v>127</v>
      </c>
      <c r="B58" s="105"/>
      <c r="C58" s="105"/>
      <c r="D58" s="105"/>
      <c r="E58" s="107">
        <f>AVERAGE(E5:E52)</f>
        <v>61.593750000000007</v>
      </c>
      <c r="F58" s="107"/>
      <c r="G58" s="107"/>
      <c r="H58" s="107"/>
    </row>
    <row r="59" spans="1:8" ht="21.75" customHeight="1" x14ac:dyDescent="0.35">
      <c r="A59" s="105" t="s">
        <v>128</v>
      </c>
      <c r="B59" s="105"/>
      <c r="C59" s="105"/>
      <c r="D59" s="105"/>
      <c r="E59" s="106">
        <f>COUNTIF(D5:D52,"A")</f>
        <v>3</v>
      </c>
      <c r="F59" s="106"/>
      <c r="G59" s="106"/>
      <c r="H59" s="106"/>
    </row>
    <row r="60" spans="1:8" ht="21.75" customHeight="1" x14ac:dyDescent="0.35">
      <c r="A60" s="105" t="s">
        <v>129</v>
      </c>
      <c r="B60" s="105"/>
      <c r="C60" s="105"/>
      <c r="D60" s="105"/>
      <c r="E60" s="106">
        <f>COUNTIF(D5:D52,"F")</f>
        <v>8</v>
      </c>
      <c r="F60" s="106"/>
      <c r="G60" s="106"/>
      <c r="H60" s="106"/>
    </row>
    <row r="61" spans="1:8" ht="21.75" customHeight="1" x14ac:dyDescent="0.35">
      <c r="A61" s="105" t="s">
        <v>130</v>
      </c>
      <c r="B61" s="105"/>
      <c r="C61" s="105"/>
      <c r="D61" s="105"/>
      <c r="E61" s="106" t="s">
        <v>131</v>
      </c>
      <c r="F61" s="106"/>
      <c r="G61" s="106"/>
      <c r="H61" s="106"/>
    </row>
    <row r="62" spans="1:8" ht="21.75" customHeight="1" x14ac:dyDescent="0.35">
      <c r="A62" s="105" t="s">
        <v>132</v>
      </c>
      <c r="B62" s="105"/>
      <c r="C62" s="105"/>
      <c r="D62" s="105"/>
      <c r="E62" s="106" t="s">
        <v>133</v>
      </c>
      <c r="F62" s="106"/>
      <c r="G62" s="106"/>
      <c r="H62" s="106"/>
    </row>
    <row r="63" spans="1:8" ht="21.75" customHeight="1" x14ac:dyDescent="0.35">
      <c r="A63" s="105" t="s">
        <v>134</v>
      </c>
      <c r="B63" s="105"/>
      <c r="C63" s="105"/>
      <c r="D63" s="105"/>
      <c r="E63" s="106" t="str">
        <f>"Term % = 23.331 + 0.633 × CT %"</f>
        <v>Term % = 23.331 + 0.633 × CT %</v>
      </c>
      <c r="F63" s="106"/>
      <c r="G63" s="106"/>
      <c r="H63" s="106"/>
    </row>
    <row r="64" spans="1:8" ht="21.75" customHeight="1" x14ac:dyDescent="0.35">
      <c r="A64" s="105" t="s">
        <v>135</v>
      </c>
      <c r="B64" s="105"/>
      <c r="C64" s="105"/>
      <c r="D64" s="105"/>
      <c r="E64" s="106">
        <f>COUNTIF(H5:H52,"Consistent")</f>
        <v>45</v>
      </c>
      <c r="F64" s="106"/>
      <c r="G64" s="106"/>
      <c r="H64" s="106"/>
    </row>
    <row r="65" spans="1:8" ht="21.75" customHeight="1" x14ac:dyDescent="0.35">
      <c r="A65" s="105" t="s">
        <v>136</v>
      </c>
      <c r="B65" s="105"/>
      <c r="C65" s="105"/>
      <c r="D65" s="105"/>
      <c r="E65" s="106">
        <f>COUNTIF(H5:H52,"High CT / Low Term")</f>
        <v>0</v>
      </c>
      <c r="F65" s="106"/>
      <c r="G65" s="106"/>
      <c r="H65" s="106"/>
    </row>
    <row r="66" spans="1:8" ht="21.75" customHeight="1" x14ac:dyDescent="0.35">
      <c r="A66" s="105" t="s">
        <v>120</v>
      </c>
      <c r="B66" s="105"/>
      <c r="C66" s="105"/>
      <c r="D66" s="105"/>
      <c r="E66" s="106">
        <f>COUNTIF(H5:H52,"Low CT / High Term")</f>
        <v>3</v>
      </c>
      <c r="F66" s="106"/>
      <c r="G66" s="106"/>
      <c r="H66" s="106"/>
    </row>
  </sheetData>
  <mergeCells count="23">
    <mergeCell ref="A1:H1"/>
    <mergeCell ref="A3:H3"/>
    <mergeCell ref="A55:H55"/>
    <mergeCell ref="A57:D57"/>
    <mergeCell ref="E57:H57"/>
    <mergeCell ref="A58:D58"/>
    <mergeCell ref="E58:H58"/>
    <mergeCell ref="A59:D59"/>
    <mergeCell ref="E59:H59"/>
    <mergeCell ref="A60:D60"/>
    <mergeCell ref="E60:H60"/>
    <mergeCell ref="A61:D61"/>
    <mergeCell ref="E61:H61"/>
    <mergeCell ref="A62:D62"/>
    <mergeCell ref="E62:H62"/>
    <mergeCell ref="A63:D63"/>
    <mergeCell ref="E63:H63"/>
    <mergeCell ref="A64:D64"/>
    <mergeCell ref="E64:H64"/>
    <mergeCell ref="A65:D65"/>
    <mergeCell ref="E65:H65"/>
    <mergeCell ref="A66:D66"/>
    <mergeCell ref="E66:H6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3"/>
  <sheetViews>
    <sheetView showGridLines="0" topLeftCell="A3" zoomScaleNormal="100" workbookViewId="0">
      <selection activeCell="F4" sqref="F1:F1048576"/>
    </sheetView>
  </sheetViews>
  <sheetFormatPr defaultColWidth="8.6328125" defaultRowHeight="14.5" x14ac:dyDescent="0.35"/>
  <cols>
    <col min="1" max="1" width="22" customWidth="1"/>
    <col min="2" max="5" width="16" customWidth="1"/>
    <col min="6" max="6" width="8" style="90" customWidth="1"/>
    <col min="7" max="7" width="20" customWidth="1"/>
  </cols>
  <sheetData>
    <row r="1" spans="1:7" ht="27.75" customHeight="1" x14ac:dyDescent="0.35">
      <c r="A1" s="91" t="s">
        <v>137</v>
      </c>
      <c r="B1" s="91"/>
      <c r="C1" s="91"/>
      <c r="D1" s="91"/>
      <c r="E1" s="91"/>
      <c r="F1" s="91"/>
      <c r="G1" s="91"/>
    </row>
    <row r="3" spans="1:7" ht="21.75" customHeight="1" x14ac:dyDescent="0.35">
      <c r="A3" s="94" t="s">
        <v>138</v>
      </c>
      <c r="B3" s="94"/>
      <c r="C3" s="94"/>
      <c r="D3" s="94"/>
      <c r="E3" s="94"/>
      <c r="F3" s="94"/>
      <c r="G3" s="94"/>
    </row>
    <row r="4" spans="1:7" ht="15" customHeight="1" x14ac:dyDescent="0.35">
      <c r="A4" s="78" t="s">
        <v>139</v>
      </c>
      <c r="B4" s="79" t="s">
        <v>140</v>
      </c>
      <c r="C4" s="79" t="s">
        <v>141</v>
      </c>
      <c r="D4" s="79" t="s">
        <v>142</v>
      </c>
      <c r="E4" s="79" t="s">
        <v>143</v>
      </c>
      <c r="F4" s="87" t="s">
        <v>100</v>
      </c>
      <c r="G4" s="80" t="s">
        <v>144</v>
      </c>
    </row>
    <row r="5" spans="1:7" ht="21.75" customHeight="1" x14ac:dyDescent="0.35">
      <c r="A5" s="74" t="s">
        <v>145</v>
      </c>
      <c r="B5" s="26">
        <v>71.2</v>
      </c>
      <c r="C5" s="26">
        <v>67.7</v>
      </c>
      <c r="D5" s="26">
        <v>64.900000000000006</v>
      </c>
      <c r="E5" s="26">
        <f t="shared" ref="E5:E14" si="0">AVERAGE(B5:D5)</f>
        <v>67.933333333333337</v>
      </c>
      <c r="F5" s="86">
        <v>1</v>
      </c>
      <c r="G5" s="116" t="str">
        <f t="shared" ref="G5:G14" si="1">IF(E5="","F",IF(E5&gt;80,"A",IF(E5&gt;=70,"B",IF(E5&gt;=60,"C",IF(E5&gt;=50,"D","F")))))</f>
        <v>C</v>
      </c>
    </row>
    <row r="6" spans="1:7" ht="21.75" customHeight="1" x14ac:dyDescent="0.35">
      <c r="A6" s="75" t="s">
        <v>146</v>
      </c>
      <c r="B6" s="36">
        <v>63.4</v>
      </c>
      <c r="C6" s="36">
        <v>68.900000000000006</v>
      </c>
      <c r="D6" s="36">
        <v>67.3</v>
      </c>
      <c r="E6" s="36">
        <f t="shared" si="0"/>
        <v>66.533333333333346</v>
      </c>
      <c r="F6" s="88">
        <v>2</v>
      </c>
      <c r="G6" s="116" t="str">
        <f t="shared" si="1"/>
        <v>C</v>
      </c>
    </row>
    <row r="7" spans="1:7" ht="21.75" customHeight="1" x14ac:dyDescent="0.35">
      <c r="A7" s="74" t="s">
        <v>147</v>
      </c>
      <c r="B7" s="26">
        <v>64.8</v>
      </c>
      <c r="C7" s="26">
        <v>66.900000000000006</v>
      </c>
      <c r="D7" s="26">
        <v>61.4</v>
      </c>
      <c r="E7" s="26">
        <f t="shared" si="0"/>
        <v>64.36666666666666</v>
      </c>
      <c r="F7" s="86">
        <v>3</v>
      </c>
      <c r="G7" s="116" t="str">
        <f t="shared" si="1"/>
        <v>C</v>
      </c>
    </row>
    <row r="8" spans="1:7" ht="21.75" customHeight="1" x14ac:dyDescent="0.35">
      <c r="A8" s="75" t="s">
        <v>148</v>
      </c>
      <c r="B8" s="36">
        <v>76</v>
      </c>
      <c r="C8" s="36">
        <v>55</v>
      </c>
      <c r="D8" s="36">
        <v>60.6</v>
      </c>
      <c r="E8" s="36">
        <f t="shared" si="0"/>
        <v>63.866666666666667</v>
      </c>
      <c r="F8" s="88">
        <v>4</v>
      </c>
      <c r="G8" s="116" t="str">
        <f t="shared" si="1"/>
        <v>C</v>
      </c>
    </row>
    <row r="9" spans="1:7" ht="21.75" customHeight="1" x14ac:dyDescent="0.35">
      <c r="A9" s="74" t="s">
        <v>149</v>
      </c>
      <c r="B9" s="26">
        <v>68.7</v>
      </c>
      <c r="C9" s="26">
        <v>62.9</v>
      </c>
      <c r="D9" s="26">
        <v>57.5</v>
      </c>
      <c r="E9" s="26">
        <f t="shared" si="0"/>
        <v>63.033333333333331</v>
      </c>
      <c r="F9" s="86">
        <v>5</v>
      </c>
      <c r="G9" s="116" t="str">
        <f t="shared" si="1"/>
        <v>C</v>
      </c>
    </row>
    <row r="10" spans="1:7" ht="21.75" customHeight="1" x14ac:dyDescent="0.35">
      <c r="A10" s="75" t="s">
        <v>150</v>
      </c>
      <c r="B10" s="36">
        <v>63.8</v>
      </c>
      <c r="C10" s="36">
        <v>66.099999999999994</v>
      </c>
      <c r="D10" s="36">
        <v>57.2</v>
      </c>
      <c r="E10" s="36">
        <f t="shared" si="0"/>
        <v>62.366666666666653</v>
      </c>
      <c r="F10" s="88">
        <v>6</v>
      </c>
      <c r="G10" s="116" t="str">
        <f t="shared" si="1"/>
        <v>C</v>
      </c>
    </row>
    <row r="11" spans="1:7" ht="21.75" customHeight="1" x14ac:dyDescent="0.35">
      <c r="A11" s="74" t="s">
        <v>151</v>
      </c>
      <c r="B11" s="26">
        <v>64.3</v>
      </c>
      <c r="C11" s="26">
        <v>64.2</v>
      </c>
      <c r="D11" s="26">
        <v>54.1</v>
      </c>
      <c r="E11" s="26">
        <f t="shared" si="0"/>
        <v>60.866666666666667</v>
      </c>
      <c r="F11" s="86">
        <v>7</v>
      </c>
      <c r="G11" s="116" t="str">
        <f t="shared" si="1"/>
        <v>C</v>
      </c>
    </row>
    <row r="12" spans="1:7" ht="21.75" customHeight="1" x14ac:dyDescent="0.35">
      <c r="A12" s="75" t="s">
        <v>152</v>
      </c>
      <c r="B12" s="36">
        <v>62.6</v>
      </c>
      <c r="C12" s="36">
        <v>61.2</v>
      </c>
      <c r="D12" s="36">
        <v>55.4</v>
      </c>
      <c r="E12" s="36">
        <f t="shared" si="0"/>
        <v>59.733333333333341</v>
      </c>
      <c r="F12" s="88">
        <v>8</v>
      </c>
      <c r="G12" s="117" t="str">
        <f t="shared" si="1"/>
        <v>D</v>
      </c>
    </row>
    <row r="13" spans="1:7" ht="21.75" customHeight="1" x14ac:dyDescent="0.35">
      <c r="A13" s="74" t="s">
        <v>153</v>
      </c>
      <c r="B13" s="26">
        <v>65.400000000000006</v>
      </c>
      <c r="C13" s="26">
        <v>58.9</v>
      </c>
      <c r="D13" s="26">
        <v>52.7</v>
      </c>
      <c r="E13" s="26">
        <f t="shared" si="0"/>
        <v>59</v>
      </c>
      <c r="F13" s="86">
        <v>9</v>
      </c>
      <c r="G13" s="117" t="str">
        <f t="shared" si="1"/>
        <v>D</v>
      </c>
    </row>
    <row r="14" spans="1:7" ht="21.75" customHeight="1" x14ac:dyDescent="0.35">
      <c r="A14" s="118" t="s">
        <v>154</v>
      </c>
      <c r="B14" s="119">
        <v>59.7</v>
      </c>
      <c r="C14" s="119">
        <v>41.4</v>
      </c>
      <c r="D14" s="119">
        <v>55.8</v>
      </c>
      <c r="E14" s="119">
        <f t="shared" si="0"/>
        <v>52.29999999999999</v>
      </c>
      <c r="F14" s="121">
        <v>10</v>
      </c>
      <c r="G14" s="120" t="str">
        <f t="shared" si="1"/>
        <v>D</v>
      </c>
    </row>
    <row r="16" spans="1:7" ht="21.75" customHeight="1" x14ac:dyDescent="0.35">
      <c r="A16" s="95" t="s">
        <v>155</v>
      </c>
      <c r="B16" s="95"/>
      <c r="C16" s="95"/>
      <c r="D16" s="95"/>
      <c r="E16" s="95"/>
      <c r="F16" s="95"/>
      <c r="G16" s="95"/>
    </row>
    <row r="17" spans="1:6" ht="23.25" customHeight="1" x14ac:dyDescent="0.35">
      <c r="A17" s="10" t="s">
        <v>139</v>
      </c>
      <c r="B17" s="10" t="s">
        <v>156</v>
      </c>
      <c r="C17" s="10" t="s">
        <v>157</v>
      </c>
      <c r="D17" s="10" t="s">
        <v>158</v>
      </c>
      <c r="E17" s="10" t="s">
        <v>159</v>
      </c>
      <c r="F17" s="122" t="s">
        <v>160</v>
      </c>
    </row>
    <row r="18" spans="1:6" ht="19.5" customHeight="1" x14ac:dyDescent="0.35">
      <c r="A18" s="18" t="s">
        <v>148</v>
      </c>
      <c r="B18" s="36">
        <v>76</v>
      </c>
      <c r="C18" s="36">
        <v>55</v>
      </c>
      <c r="D18" s="36">
        <v>60.6</v>
      </c>
      <c r="E18" s="36">
        <f t="shared" ref="E18:E23" si="2">MAX(B18,C18,D18)-MIN(B18,C18,D18)</f>
        <v>21</v>
      </c>
      <c r="F18" s="88" t="s">
        <v>161</v>
      </c>
    </row>
    <row r="19" spans="1:6" ht="19.5" customHeight="1" x14ac:dyDescent="0.35">
      <c r="A19" s="14" t="s">
        <v>154</v>
      </c>
      <c r="B19" s="26">
        <v>59.7</v>
      </c>
      <c r="C19" s="26">
        <v>41.4</v>
      </c>
      <c r="D19" s="26">
        <v>55.8</v>
      </c>
      <c r="E19" s="26">
        <f t="shared" si="2"/>
        <v>18.300000000000004</v>
      </c>
      <c r="F19" s="86" t="s">
        <v>161</v>
      </c>
    </row>
    <row r="20" spans="1:6" ht="19.5" customHeight="1" x14ac:dyDescent="0.35">
      <c r="A20" s="18" t="s">
        <v>153</v>
      </c>
      <c r="B20" s="36">
        <v>65.400000000000006</v>
      </c>
      <c r="C20" s="36">
        <v>58.9</v>
      </c>
      <c r="D20" s="36">
        <v>52.7</v>
      </c>
      <c r="E20" s="36">
        <f t="shared" si="2"/>
        <v>12.700000000000003</v>
      </c>
      <c r="F20" s="88" t="s">
        <v>161</v>
      </c>
    </row>
    <row r="21" spans="1:6" ht="19.5" customHeight="1" x14ac:dyDescent="0.35">
      <c r="A21" s="14" t="s">
        <v>149</v>
      </c>
      <c r="B21" s="26">
        <v>68.7</v>
      </c>
      <c r="C21" s="26">
        <v>62.9</v>
      </c>
      <c r="D21" s="26">
        <v>57.5</v>
      </c>
      <c r="E21" s="26">
        <f t="shared" si="2"/>
        <v>11.200000000000003</v>
      </c>
      <c r="F21" s="86" t="s">
        <v>161</v>
      </c>
    </row>
    <row r="22" spans="1:6" ht="19.5" customHeight="1" x14ac:dyDescent="0.35">
      <c r="A22" s="18" t="s">
        <v>151</v>
      </c>
      <c r="B22" s="36">
        <v>64.3</v>
      </c>
      <c r="C22" s="36">
        <v>64.2</v>
      </c>
      <c r="D22" s="36">
        <v>54.1</v>
      </c>
      <c r="E22" s="36">
        <f t="shared" si="2"/>
        <v>10.199999999999996</v>
      </c>
      <c r="F22" s="88" t="s">
        <v>161</v>
      </c>
    </row>
    <row r="23" spans="1:6" ht="19.5" customHeight="1" x14ac:dyDescent="0.35">
      <c r="A23" s="14" t="s">
        <v>150</v>
      </c>
      <c r="B23" s="26">
        <v>63.8</v>
      </c>
      <c r="C23" s="26">
        <v>66.099999999999994</v>
      </c>
      <c r="D23" s="26">
        <v>57.2</v>
      </c>
      <c r="E23" s="26">
        <f t="shared" si="2"/>
        <v>8.8999999999999915</v>
      </c>
      <c r="F23" s="86" t="s">
        <v>162</v>
      </c>
    </row>
  </sheetData>
  <mergeCells count="3">
    <mergeCell ref="A1:G1"/>
    <mergeCell ref="A3:G3"/>
    <mergeCell ref="A16:G16"/>
  </mergeCells>
  <pageMargins left="0.75" right="0.75" top="1" bottom="1" header="0.511811023622047" footer="0.511811023622047"/>
  <pageSetup paperSize="9" orientation="portrait" horizontalDpi="300" verticalDpi="300"/>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9"/>
  <sheetViews>
    <sheetView showGridLines="0" zoomScaleNormal="100" workbookViewId="0">
      <selection sqref="A1:I1"/>
    </sheetView>
  </sheetViews>
  <sheetFormatPr defaultColWidth="8.6328125" defaultRowHeight="14.5" x14ac:dyDescent="0.35"/>
  <cols>
    <col min="1" max="1" width="18" customWidth="1"/>
    <col min="2" max="2" width="22" customWidth="1"/>
    <col min="3" max="7" width="16" customWidth="1"/>
    <col min="8" max="8" width="18" customWidth="1"/>
    <col min="9" max="9" width="12" customWidth="1"/>
  </cols>
  <sheetData>
    <row r="1" spans="1:9" ht="27.75" customHeight="1" x14ac:dyDescent="0.35">
      <c r="A1" s="91" t="s">
        <v>163</v>
      </c>
      <c r="B1" s="91"/>
      <c r="C1" s="91"/>
      <c r="D1" s="91"/>
      <c r="E1" s="91"/>
      <c r="F1" s="91"/>
      <c r="G1" s="91"/>
      <c r="H1" s="91"/>
      <c r="I1" s="91"/>
    </row>
    <row r="3" spans="1:9" ht="21.75" customHeight="1" x14ac:dyDescent="0.35">
      <c r="A3" s="94" t="s">
        <v>164</v>
      </c>
      <c r="B3" s="94"/>
      <c r="C3" s="94"/>
      <c r="D3" s="94"/>
      <c r="E3" s="94"/>
      <c r="F3" s="94"/>
      <c r="G3" s="94"/>
      <c r="H3" s="94"/>
      <c r="I3" s="94"/>
    </row>
    <row r="4" spans="1:9" ht="15" customHeight="1" x14ac:dyDescent="0.35">
      <c r="A4" s="1" t="s">
        <v>165</v>
      </c>
      <c r="B4" s="1" t="s">
        <v>139</v>
      </c>
      <c r="C4" s="1" t="s">
        <v>156</v>
      </c>
      <c r="D4" s="1" t="s">
        <v>157</v>
      </c>
      <c r="E4" s="1" t="s">
        <v>158</v>
      </c>
      <c r="F4" s="1" t="s">
        <v>143</v>
      </c>
      <c r="G4" s="1" t="s">
        <v>81</v>
      </c>
      <c r="H4" s="1" t="s">
        <v>166</v>
      </c>
      <c r="I4" s="1" t="s">
        <v>20</v>
      </c>
    </row>
    <row r="5" spans="1:9" ht="21.75" customHeight="1" x14ac:dyDescent="0.35">
      <c r="A5" s="14" t="s">
        <v>167</v>
      </c>
      <c r="B5" s="15" t="s">
        <v>145</v>
      </c>
      <c r="C5" s="26">
        <v>71.2</v>
      </c>
      <c r="D5" s="15" t="s">
        <v>168</v>
      </c>
      <c r="E5" s="15" t="s">
        <v>168</v>
      </c>
      <c r="F5" s="26">
        <v>71.2</v>
      </c>
      <c r="G5" s="15">
        <v>18</v>
      </c>
      <c r="H5" s="2" t="s">
        <v>169</v>
      </c>
      <c r="I5" s="16" t="str">
        <f t="shared" ref="I5:I17" si="0">IF(F5="","F",IF(F5&gt;80,"A",IF(F5&gt;=70,"B",IF(F5&gt;=60,"C",IF(F5&gt;=50,"D","F")))))</f>
        <v>B</v>
      </c>
    </row>
    <row r="6" spans="1:9" ht="21.75" customHeight="1" x14ac:dyDescent="0.35">
      <c r="A6" s="18" t="s">
        <v>170</v>
      </c>
      <c r="B6" s="19" t="s">
        <v>149</v>
      </c>
      <c r="C6" s="36">
        <v>68.7</v>
      </c>
      <c r="D6" s="19" t="s">
        <v>168</v>
      </c>
      <c r="E6" s="19" t="s">
        <v>168</v>
      </c>
      <c r="F6" s="36">
        <v>68.7</v>
      </c>
      <c r="G6" s="19">
        <v>18</v>
      </c>
      <c r="H6" s="1" t="s">
        <v>171</v>
      </c>
      <c r="I6" s="24" t="str">
        <f t="shared" si="0"/>
        <v>C</v>
      </c>
    </row>
    <row r="7" spans="1:9" ht="21.75" customHeight="1" x14ac:dyDescent="0.35">
      <c r="A7" s="14" t="s">
        <v>172</v>
      </c>
      <c r="B7" s="15" t="s">
        <v>146</v>
      </c>
      <c r="C7" s="26">
        <v>63.4</v>
      </c>
      <c r="D7" s="26">
        <v>68.900000000000006</v>
      </c>
      <c r="E7" s="26">
        <v>67.3</v>
      </c>
      <c r="F7" s="26">
        <v>66.5</v>
      </c>
      <c r="G7" s="15">
        <v>48</v>
      </c>
      <c r="H7" s="1" t="s">
        <v>171</v>
      </c>
      <c r="I7" s="24" t="str">
        <f t="shared" si="0"/>
        <v>C</v>
      </c>
    </row>
    <row r="8" spans="1:9" ht="21.75" customHeight="1" x14ac:dyDescent="0.35">
      <c r="A8" s="18" t="s">
        <v>173</v>
      </c>
      <c r="B8" s="19" t="s">
        <v>145</v>
      </c>
      <c r="C8" s="19" t="s">
        <v>168</v>
      </c>
      <c r="D8" s="36">
        <v>67.7</v>
      </c>
      <c r="E8" s="36">
        <v>64.900000000000006</v>
      </c>
      <c r="F8" s="36">
        <v>66.3</v>
      </c>
      <c r="G8" s="19">
        <v>30</v>
      </c>
      <c r="H8" s="1" t="s">
        <v>171</v>
      </c>
      <c r="I8" s="24" t="str">
        <f t="shared" si="0"/>
        <v>C</v>
      </c>
    </row>
    <row r="9" spans="1:9" ht="21.75" customHeight="1" x14ac:dyDescent="0.35">
      <c r="A9" s="14" t="s">
        <v>172</v>
      </c>
      <c r="B9" s="15" t="s">
        <v>147</v>
      </c>
      <c r="C9" s="26">
        <v>64.8</v>
      </c>
      <c r="D9" s="26">
        <v>66.900000000000006</v>
      </c>
      <c r="E9" s="26">
        <v>61.4</v>
      </c>
      <c r="F9" s="26">
        <v>64.400000000000006</v>
      </c>
      <c r="G9" s="15">
        <v>48</v>
      </c>
      <c r="H9" s="1" t="s">
        <v>171</v>
      </c>
      <c r="I9" s="24" t="str">
        <f t="shared" si="0"/>
        <v>C</v>
      </c>
    </row>
    <row r="10" spans="1:9" ht="21.75" customHeight="1" x14ac:dyDescent="0.35">
      <c r="A10" s="18" t="s">
        <v>167</v>
      </c>
      <c r="B10" s="19" t="s">
        <v>151</v>
      </c>
      <c r="C10" s="36">
        <v>64.3</v>
      </c>
      <c r="D10" s="19" t="s">
        <v>168</v>
      </c>
      <c r="E10" s="19" t="s">
        <v>168</v>
      </c>
      <c r="F10" s="36">
        <v>64.3</v>
      </c>
      <c r="G10" s="19">
        <v>18</v>
      </c>
      <c r="H10" s="1" t="s">
        <v>171</v>
      </c>
      <c r="I10" s="24" t="str">
        <f t="shared" si="0"/>
        <v>C</v>
      </c>
    </row>
    <row r="11" spans="1:9" ht="21.75" customHeight="1" x14ac:dyDescent="0.35">
      <c r="A11" s="14" t="s">
        <v>172</v>
      </c>
      <c r="B11" s="15" t="s">
        <v>148</v>
      </c>
      <c r="C11" s="26">
        <v>76</v>
      </c>
      <c r="D11" s="26">
        <v>55</v>
      </c>
      <c r="E11" s="26">
        <v>60.6</v>
      </c>
      <c r="F11" s="26">
        <v>63.9</v>
      </c>
      <c r="G11" s="15">
        <v>48</v>
      </c>
      <c r="H11" s="1" t="s">
        <v>171</v>
      </c>
      <c r="I11" s="24" t="str">
        <f t="shared" si="0"/>
        <v>C</v>
      </c>
    </row>
    <row r="12" spans="1:9" ht="21.75" customHeight="1" x14ac:dyDescent="0.35">
      <c r="A12" s="18" t="s">
        <v>174</v>
      </c>
      <c r="B12" s="19" t="s">
        <v>150</v>
      </c>
      <c r="C12" s="36">
        <v>63.8</v>
      </c>
      <c r="D12" s="19" t="s">
        <v>168</v>
      </c>
      <c r="E12" s="19" t="s">
        <v>168</v>
      </c>
      <c r="F12" s="36">
        <v>63.8</v>
      </c>
      <c r="G12" s="19">
        <v>18</v>
      </c>
      <c r="H12" s="1" t="s">
        <v>171</v>
      </c>
      <c r="I12" s="24" t="str">
        <f t="shared" si="0"/>
        <v>C</v>
      </c>
    </row>
    <row r="13" spans="1:9" ht="21.75" customHeight="1" x14ac:dyDescent="0.35">
      <c r="A13" s="14" t="s">
        <v>175</v>
      </c>
      <c r="B13" s="15" t="s">
        <v>150</v>
      </c>
      <c r="C13" s="15" t="s">
        <v>168</v>
      </c>
      <c r="D13" s="26">
        <v>66.099999999999994</v>
      </c>
      <c r="E13" s="26">
        <v>57.2</v>
      </c>
      <c r="F13" s="26">
        <v>61.6</v>
      </c>
      <c r="G13" s="15">
        <v>30</v>
      </c>
      <c r="H13" s="1" t="s">
        <v>171</v>
      </c>
      <c r="I13" s="24" t="str">
        <f t="shared" si="0"/>
        <v>C</v>
      </c>
    </row>
    <row r="14" spans="1:9" ht="21.75" customHeight="1" x14ac:dyDescent="0.35">
      <c r="A14" s="18" t="s">
        <v>176</v>
      </c>
      <c r="B14" s="19" t="s">
        <v>149</v>
      </c>
      <c r="C14" s="19" t="s">
        <v>168</v>
      </c>
      <c r="D14" s="36">
        <v>62.9</v>
      </c>
      <c r="E14" s="36">
        <v>57.5</v>
      </c>
      <c r="F14" s="36">
        <v>60.2</v>
      </c>
      <c r="G14" s="19">
        <v>30</v>
      </c>
      <c r="H14" s="1" t="s">
        <v>171</v>
      </c>
      <c r="I14" s="24" t="str">
        <f t="shared" si="0"/>
        <v>C</v>
      </c>
    </row>
    <row r="15" spans="1:9" ht="21.75" customHeight="1" x14ac:dyDescent="0.35">
      <c r="A15" s="14" t="s">
        <v>173</v>
      </c>
      <c r="B15" s="15" t="s">
        <v>152</v>
      </c>
      <c r="C15" s="26">
        <v>62.6</v>
      </c>
      <c r="D15" s="26">
        <v>61.2</v>
      </c>
      <c r="E15" s="26">
        <v>55.4</v>
      </c>
      <c r="F15" s="26">
        <v>59.7</v>
      </c>
      <c r="G15" s="15">
        <v>48</v>
      </c>
      <c r="H15" s="1" t="s">
        <v>171</v>
      </c>
      <c r="I15" s="21" t="str">
        <f t="shared" si="0"/>
        <v>D</v>
      </c>
    </row>
    <row r="16" spans="1:9" ht="21.75" customHeight="1" x14ac:dyDescent="0.35">
      <c r="A16" s="18" t="s">
        <v>173</v>
      </c>
      <c r="B16" s="19" t="s">
        <v>151</v>
      </c>
      <c r="C16" s="19" t="s">
        <v>168</v>
      </c>
      <c r="D16" s="36">
        <v>64.2</v>
      </c>
      <c r="E16" s="36">
        <v>54.1</v>
      </c>
      <c r="F16" s="36">
        <v>59.2</v>
      </c>
      <c r="G16" s="19">
        <v>30</v>
      </c>
      <c r="H16" s="1" t="s">
        <v>171</v>
      </c>
      <c r="I16" s="21" t="str">
        <f t="shared" si="0"/>
        <v>D</v>
      </c>
    </row>
    <row r="17" spans="1:9" ht="21.75" customHeight="1" x14ac:dyDescent="0.35">
      <c r="A17" s="14" t="s">
        <v>177</v>
      </c>
      <c r="B17" s="15" t="s">
        <v>154</v>
      </c>
      <c r="C17" s="26">
        <v>59.7</v>
      </c>
      <c r="D17" s="26">
        <v>41.4</v>
      </c>
      <c r="E17" s="26">
        <v>55.9</v>
      </c>
      <c r="F17" s="26">
        <v>52.3</v>
      </c>
      <c r="G17" s="15">
        <v>48</v>
      </c>
      <c r="H17" s="6" t="s">
        <v>178</v>
      </c>
      <c r="I17" s="21" t="str">
        <f t="shared" si="0"/>
        <v>D</v>
      </c>
    </row>
    <row r="20" spans="1:9" ht="21.75" customHeight="1" x14ac:dyDescent="0.35">
      <c r="A20" s="95" t="s">
        <v>179</v>
      </c>
      <c r="B20" s="95"/>
      <c r="C20" s="95"/>
      <c r="D20" s="95"/>
      <c r="E20" s="95"/>
      <c r="F20" s="95"/>
      <c r="G20" s="95"/>
      <c r="H20" s="95"/>
      <c r="I20" s="95"/>
    </row>
    <row r="21" spans="1:9" ht="15" customHeight="1" x14ac:dyDescent="0.35">
      <c r="A21" s="10" t="s">
        <v>165</v>
      </c>
      <c r="B21" s="10" t="s">
        <v>180</v>
      </c>
      <c r="C21" s="10" t="s">
        <v>181</v>
      </c>
      <c r="D21" s="10" t="s">
        <v>20</v>
      </c>
    </row>
    <row r="22" spans="1:9" ht="19.5" customHeight="1" x14ac:dyDescent="0.35">
      <c r="A22" s="18" t="s">
        <v>170</v>
      </c>
      <c r="B22" s="19" t="s">
        <v>149</v>
      </c>
      <c r="C22" s="36">
        <v>68.7</v>
      </c>
      <c r="D22" s="24" t="str">
        <f t="shared" ref="D22:D29" si="1">IF(C22="","F",IF(C22&gt;80,"A",IF(C22&gt;=70,"B",IF(C22&gt;=60,"C",IF(C22&gt;=50,"D","F")))))</f>
        <v>C</v>
      </c>
    </row>
    <row r="23" spans="1:9" ht="19.5" customHeight="1" x14ac:dyDescent="0.35">
      <c r="A23" s="14" t="s">
        <v>167</v>
      </c>
      <c r="B23" s="15" t="s">
        <v>182</v>
      </c>
      <c r="C23" s="26">
        <v>67.8</v>
      </c>
      <c r="D23" s="24" t="str">
        <f t="shared" si="1"/>
        <v>C</v>
      </c>
    </row>
    <row r="24" spans="1:9" ht="19.5" customHeight="1" x14ac:dyDescent="0.35">
      <c r="A24" s="18" t="s">
        <v>172</v>
      </c>
      <c r="B24" s="19" t="s">
        <v>183</v>
      </c>
      <c r="C24" s="36">
        <v>65.099999999999994</v>
      </c>
      <c r="D24" s="24" t="str">
        <f t="shared" si="1"/>
        <v>C</v>
      </c>
    </row>
    <row r="25" spans="1:9" ht="19.5" customHeight="1" x14ac:dyDescent="0.35">
      <c r="A25" s="14" t="s">
        <v>174</v>
      </c>
      <c r="B25" s="15" t="s">
        <v>150</v>
      </c>
      <c r="C25" s="26">
        <v>63.8</v>
      </c>
      <c r="D25" s="24" t="str">
        <f t="shared" si="1"/>
        <v>C</v>
      </c>
    </row>
    <row r="26" spans="1:9" ht="19.5" customHeight="1" x14ac:dyDescent="0.35">
      <c r="A26" s="18" t="s">
        <v>175</v>
      </c>
      <c r="B26" s="19" t="s">
        <v>150</v>
      </c>
      <c r="C26" s="36">
        <v>61.9</v>
      </c>
      <c r="D26" s="24" t="str">
        <f t="shared" si="1"/>
        <v>C</v>
      </c>
    </row>
    <row r="27" spans="1:9" ht="19.5" customHeight="1" x14ac:dyDescent="0.35">
      <c r="A27" s="14" t="s">
        <v>173</v>
      </c>
      <c r="B27" s="15" t="s">
        <v>184</v>
      </c>
      <c r="C27" s="26">
        <v>61.6</v>
      </c>
      <c r="D27" s="24" t="str">
        <f t="shared" si="1"/>
        <v>C</v>
      </c>
    </row>
    <row r="28" spans="1:9" ht="19.5" customHeight="1" x14ac:dyDescent="0.35">
      <c r="A28" s="18" t="s">
        <v>176</v>
      </c>
      <c r="B28" s="19" t="s">
        <v>149</v>
      </c>
      <c r="C28" s="36">
        <v>60.4</v>
      </c>
      <c r="D28" s="24" t="str">
        <f t="shared" si="1"/>
        <v>C</v>
      </c>
    </row>
    <row r="29" spans="1:9" ht="19.5" customHeight="1" x14ac:dyDescent="0.35">
      <c r="A29" s="14" t="s">
        <v>177</v>
      </c>
      <c r="B29" s="15" t="s">
        <v>154</v>
      </c>
      <c r="C29" s="26">
        <v>52.5</v>
      </c>
      <c r="D29" s="21" t="str">
        <f t="shared" si="1"/>
        <v>D</v>
      </c>
    </row>
  </sheetData>
  <mergeCells count="3">
    <mergeCell ref="A1:I1"/>
    <mergeCell ref="A3:I3"/>
    <mergeCell ref="A20:I2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94"/>
  <sheetViews>
    <sheetView showGridLines="0" zoomScaleNormal="100" workbookViewId="0">
      <pane xSplit="2" ySplit="4" topLeftCell="C14" activePane="bottomRight" state="frozen"/>
      <selection pane="topRight" activeCell="C1" sqref="C1"/>
      <selection pane="bottomLeft" activeCell="A5" sqref="A5"/>
      <selection pane="bottomRight" activeCell="B15" sqref="B15:G20"/>
    </sheetView>
  </sheetViews>
  <sheetFormatPr defaultColWidth="8.6328125" defaultRowHeight="14.5" x14ac:dyDescent="0.35"/>
  <cols>
    <col min="1" max="1" width="2" customWidth="1"/>
    <col min="2" max="2" width="20" customWidth="1"/>
    <col min="3" max="7" width="14" customWidth="1"/>
    <col min="8" max="8" width="12" customWidth="1"/>
    <col min="9" max="9" width="3" customWidth="1"/>
    <col min="10" max="10" width="24" customWidth="1"/>
    <col min="11" max="11" width="8" customWidth="1"/>
    <col min="12" max="14" width="10" customWidth="1"/>
    <col min="15" max="15" width="12" customWidth="1"/>
  </cols>
  <sheetData>
    <row r="1" spans="2:15" ht="31.5" customHeight="1" x14ac:dyDescent="0.35">
      <c r="B1" s="91" t="s">
        <v>185</v>
      </c>
      <c r="C1" s="91"/>
      <c r="D1" s="91"/>
      <c r="E1" s="91"/>
      <c r="F1" s="91"/>
      <c r="G1" s="91"/>
      <c r="H1" s="91"/>
    </row>
    <row r="2" spans="2:15" ht="18" customHeight="1" x14ac:dyDescent="0.35">
      <c r="B2" s="115" t="s">
        <v>186</v>
      </c>
      <c r="C2" s="115"/>
      <c r="D2" s="115"/>
      <c r="E2" s="115"/>
      <c r="F2" s="115"/>
      <c r="G2" s="115"/>
      <c r="H2" s="115"/>
    </row>
    <row r="4" spans="2:15" ht="21.75" customHeight="1" x14ac:dyDescent="0.35">
      <c r="B4" s="94" t="s">
        <v>187</v>
      </c>
      <c r="C4" s="94"/>
      <c r="D4" s="94"/>
      <c r="E4" s="94"/>
      <c r="F4" s="94"/>
      <c r="G4" s="94"/>
      <c r="H4" s="94"/>
      <c r="J4" s="37" t="s">
        <v>188</v>
      </c>
      <c r="K4" s="37" t="s">
        <v>20</v>
      </c>
      <c r="L4" s="37" t="s">
        <v>189</v>
      </c>
      <c r="M4" s="37" t="s">
        <v>190</v>
      </c>
      <c r="N4" s="37" t="s">
        <v>115</v>
      </c>
      <c r="O4" s="37" t="s">
        <v>113</v>
      </c>
    </row>
    <row r="5" spans="2:15" ht="27.75" customHeight="1" x14ac:dyDescent="0.35">
      <c r="B5" s="38" t="s">
        <v>191</v>
      </c>
      <c r="C5" s="39" t="s">
        <v>192</v>
      </c>
      <c r="D5" s="40" t="s">
        <v>193</v>
      </c>
      <c r="E5" s="41" t="s">
        <v>194</v>
      </c>
      <c r="F5" s="42" t="s">
        <v>195</v>
      </c>
      <c r="G5" s="43" t="s">
        <v>196</v>
      </c>
      <c r="H5" s="38" t="s">
        <v>197</v>
      </c>
      <c r="J5" s="44" t="s">
        <v>27</v>
      </c>
      <c r="K5" s="44" t="s">
        <v>28</v>
      </c>
      <c r="L5" s="44">
        <v>74.2</v>
      </c>
      <c r="M5" s="44">
        <v>77.400000000000006</v>
      </c>
      <c r="N5" s="45" t="s">
        <v>193</v>
      </c>
      <c r="O5" s="45" t="s">
        <v>193</v>
      </c>
    </row>
    <row r="6" spans="2:15" ht="27.75" customHeight="1" x14ac:dyDescent="0.35">
      <c r="B6" s="39" t="s">
        <v>192</v>
      </c>
      <c r="C6" s="46">
        <f>COUNTIFS($N$5:$N$52,"A",$O$5:$O$52,"A")</f>
        <v>1</v>
      </c>
      <c r="D6" s="47">
        <f>COUNTIFS($N$5:$N$52,"A",$O$5:$O$52,"B")</f>
        <v>3</v>
      </c>
      <c r="E6" s="47">
        <f>COUNTIFS($N$5:$N$52,"A",$O$5:$O$52,"C")</f>
        <v>0</v>
      </c>
      <c r="F6" s="47">
        <f>COUNTIFS($N$5:$N$52,"A",$O$5:$O$52,"D")</f>
        <v>0</v>
      </c>
      <c r="G6" s="47">
        <f>COUNTIFS($N$5:$N$52,"A",$O$5:$O$52,"F")</f>
        <v>0</v>
      </c>
      <c r="H6" s="48">
        <f>SUM(C6:G6)</f>
        <v>4</v>
      </c>
      <c r="J6" s="49" t="s">
        <v>29</v>
      </c>
      <c r="K6" s="49" t="s">
        <v>28</v>
      </c>
      <c r="L6" s="49">
        <v>74.2</v>
      </c>
      <c r="M6" s="49">
        <v>75.8</v>
      </c>
      <c r="N6" s="45" t="s">
        <v>193</v>
      </c>
      <c r="O6" s="45" t="s">
        <v>193</v>
      </c>
    </row>
    <row r="7" spans="2:15" ht="27.75" customHeight="1" x14ac:dyDescent="0.35">
      <c r="B7" s="40" t="s">
        <v>193</v>
      </c>
      <c r="C7" s="50">
        <f>COUNTIFS($N$5:$N$52,"B",$O$5:$O$52,"A")</f>
        <v>1</v>
      </c>
      <c r="D7" s="46">
        <f>COUNTIFS($N$5:$N$52,"B",$O$5:$O$52,"B")</f>
        <v>6</v>
      </c>
      <c r="E7" s="47">
        <f>COUNTIFS($N$5:$N$52,"B",$O$5:$O$52,"C")</f>
        <v>6</v>
      </c>
      <c r="F7" s="47">
        <f>COUNTIFS($N$5:$N$52,"B",$O$5:$O$52,"D")</f>
        <v>0</v>
      </c>
      <c r="G7" s="47">
        <f>COUNTIFS($N$5:$N$52,"B",$O$5:$O$52,"F")</f>
        <v>0</v>
      </c>
      <c r="H7" s="48">
        <f>SUM(C7:G7)</f>
        <v>13</v>
      </c>
      <c r="J7" s="44" t="s">
        <v>30</v>
      </c>
      <c r="K7" s="44" t="s">
        <v>28</v>
      </c>
      <c r="L7" s="44">
        <v>43.3</v>
      </c>
      <c r="M7" s="44">
        <v>55.4</v>
      </c>
      <c r="N7" s="51" t="s">
        <v>196</v>
      </c>
      <c r="O7" s="52" t="s">
        <v>195</v>
      </c>
    </row>
    <row r="8" spans="2:15" ht="27.75" customHeight="1" x14ac:dyDescent="0.35">
      <c r="B8" s="41" t="s">
        <v>194</v>
      </c>
      <c r="C8" s="50">
        <f>COUNTIFS($N$5:$N$52,"C",$O$5:$O$52,"A")</f>
        <v>0</v>
      </c>
      <c r="D8" s="50">
        <f>COUNTIFS($N$5:$N$52,"C",$O$5:$O$52,"B")</f>
        <v>1</v>
      </c>
      <c r="E8" s="46">
        <f>COUNTIFS($N$5:$N$52,"C",$O$5:$O$52,"C")</f>
        <v>6</v>
      </c>
      <c r="F8" s="47">
        <f>COUNTIFS($N$5:$N$52,"C",$O$5:$O$52,"D")</f>
        <v>2</v>
      </c>
      <c r="G8" s="47">
        <f>COUNTIFS($N$5:$N$52,"C",$O$5:$O$52,"F")</f>
        <v>0</v>
      </c>
      <c r="H8" s="48">
        <f>SUM(C8:G8)</f>
        <v>9</v>
      </c>
      <c r="J8" s="49" t="s">
        <v>31</v>
      </c>
      <c r="K8" s="49" t="s">
        <v>28</v>
      </c>
      <c r="L8" s="49">
        <v>52.4</v>
      </c>
      <c r="M8" s="49">
        <v>56.7</v>
      </c>
      <c r="N8" s="52" t="s">
        <v>195</v>
      </c>
      <c r="O8" s="52" t="s">
        <v>195</v>
      </c>
    </row>
    <row r="9" spans="2:15" ht="27.75" customHeight="1" x14ac:dyDescent="0.35">
      <c r="B9" s="42" t="s">
        <v>195</v>
      </c>
      <c r="C9" s="50">
        <f>COUNTIFS($N$5:$N$52,"D",$O$5:$O$52,"A")</f>
        <v>0</v>
      </c>
      <c r="D9" s="50">
        <f>COUNTIFS($N$5:$N$52,"D",$O$5:$O$52,"B")</f>
        <v>0</v>
      </c>
      <c r="E9" s="50">
        <f>COUNTIFS($N$5:$N$52,"D",$O$5:$O$52,"C")</f>
        <v>0</v>
      </c>
      <c r="F9" s="46">
        <f>COUNTIFS($N$5:$N$52,"D",$O$5:$O$52,"D")</f>
        <v>7</v>
      </c>
      <c r="G9" s="47">
        <f>COUNTIFS($N$5:$N$52,"D",$O$5:$O$52,"F")</f>
        <v>3</v>
      </c>
      <c r="H9" s="48">
        <f>SUM(C9:G9)</f>
        <v>10</v>
      </c>
      <c r="J9" s="44" t="s">
        <v>32</v>
      </c>
      <c r="K9" s="44" t="s">
        <v>28</v>
      </c>
      <c r="L9" s="44">
        <v>50.7</v>
      </c>
      <c r="M9" s="44">
        <v>42.5</v>
      </c>
      <c r="N9" s="52" t="s">
        <v>195</v>
      </c>
      <c r="O9" s="51" t="s">
        <v>196</v>
      </c>
    </row>
    <row r="10" spans="2:15" ht="27.75" customHeight="1" x14ac:dyDescent="0.35">
      <c r="B10" s="43" t="s">
        <v>196</v>
      </c>
      <c r="C10" s="50">
        <f>COUNTIFS($N$5:$N$52,"F",$O$5:$O$52,"A")</f>
        <v>1</v>
      </c>
      <c r="D10" s="50">
        <f>COUNTIFS($N$5:$N$52,"F",$O$5:$O$52,"B")</f>
        <v>1</v>
      </c>
      <c r="E10" s="50">
        <f>COUNTIFS($N$5:$N$52,"F",$O$5:$O$52,"C")</f>
        <v>1</v>
      </c>
      <c r="F10" s="50">
        <f>COUNTIFS($N$5:$N$52,"F",$O$5:$O$52,"D")</f>
        <v>4</v>
      </c>
      <c r="G10" s="46">
        <f>COUNTIFS($N$5:$N$52,"F",$O$5:$O$52,"F")</f>
        <v>5</v>
      </c>
      <c r="H10" s="48">
        <f>SUM(C10:G10)</f>
        <v>12</v>
      </c>
      <c r="J10" s="49" t="s">
        <v>33</v>
      </c>
      <c r="K10" s="49" t="s">
        <v>28</v>
      </c>
      <c r="L10" s="49">
        <v>69.8</v>
      </c>
      <c r="M10" s="49">
        <v>63.5</v>
      </c>
      <c r="N10" s="53" t="s">
        <v>194</v>
      </c>
      <c r="O10" s="53" t="s">
        <v>194</v>
      </c>
    </row>
    <row r="11" spans="2:15" ht="24" customHeight="1" x14ac:dyDescent="0.35">
      <c r="B11" s="38" t="s">
        <v>198</v>
      </c>
      <c r="C11" s="25">
        <f t="shared" ref="C11:H11" si="0">SUM(C6:C10)</f>
        <v>3</v>
      </c>
      <c r="D11" s="16">
        <f t="shared" si="0"/>
        <v>11</v>
      </c>
      <c r="E11" s="24">
        <f t="shared" si="0"/>
        <v>13</v>
      </c>
      <c r="F11" s="21">
        <f t="shared" si="0"/>
        <v>13</v>
      </c>
      <c r="G11" s="23">
        <f t="shared" si="0"/>
        <v>8</v>
      </c>
      <c r="H11" s="54">
        <f t="shared" si="0"/>
        <v>48</v>
      </c>
      <c r="J11" s="44" t="s">
        <v>34</v>
      </c>
      <c r="K11" s="44" t="s">
        <v>28</v>
      </c>
      <c r="L11" s="44">
        <v>75.8</v>
      </c>
      <c r="M11" s="44">
        <v>78.8</v>
      </c>
      <c r="N11" s="45" t="s">
        <v>193</v>
      </c>
      <c r="O11" s="45" t="s">
        <v>193</v>
      </c>
    </row>
    <row r="12" spans="2:15" ht="15" customHeight="1" x14ac:dyDescent="0.35">
      <c r="J12" s="49" t="s">
        <v>35</v>
      </c>
      <c r="K12" s="49" t="s">
        <v>28</v>
      </c>
      <c r="L12" s="49">
        <v>40.700000000000003</v>
      </c>
      <c r="M12" s="49">
        <v>53.7</v>
      </c>
      <c r="N12" s="51" t="s">
        <v>196</v>
      </c>
      <c r="O12" s="52" t="s">
        <v>195</v>
      </c>
    </row>
    <row r="13" spans="2:15" ht="15" customHeight="1" x14ac:dyDescent="0.35">
      <c r="J13" s="44" t="s">
        <v>36</v>
      </c>
      <c r="K13" s="44" t="s">
        <v>28</v>
      </c>
      <c r="L13" s="44">
        <v>70.900000000000006</v>
      </c>
      <c r="M13" s="44">
        <v>67.900000000000006</v>
      </c>
      <c r="N13" s="45" t="s">
        <v>193</v>
      </c>
      <c r="O13" s="53" t="s">
        <v>194</v>
      </c>
    </row>
    <row r="14" spans="2:15" ht="21.75" customHeight="1" x14ac:dyDescent="0.35">
      <c r="B14" s="97" t="s">
        <v>199</v>
      </c>
      <c r="C14" s="97"/>
      <c r="D14" s="97"/>
      <c r="E14" s="97"/>
      <c r="F14" s="97"/>
      <c r="G14" s="97"/>
      <c r="H14" s="97"/>
      <c r="J14" s="49" t="s">
        <v>37</v>
      </c>
      <c r="K14" s="49" t="s">
        <v>28</v>
      </c>
      <c r="L14" s="49">
        <v>71.400000000000006</v>
      </c>
      <c r="M14" s="49">
        <v>67.3</v>
      </c>
      <c r="N14" s="45" t="s">
        <v>193</v>
      </c>
      <c r="O14" s="53" t="s">
        <v>194</v>
      </c>
    </row>
    <row r="15" spans="2:15" ht="27.75" customHeight="1" x14ac:dyDescent="0.35">
      <c r="B15" s="130" t="s">
        <v>191</v>
      </c>
      <c r="C15" s="131" t="s">
        <v>192</v>
      </c>
      <c r="D15" s="132" t="s">
        <v>193</v>
      </c>
      <c r="E15" s="133" t="s">
        <v>194</v>
      </c>
      <c r="F15" s="134" t="s">
        <v>195</v>
      </c>
      <c r="G15" s="135" t="s">
        <v>196</v>
      </c>
      <c r="H15" s="123" t="s">
        <v>200</v>
      </c>
      <c r="J15" s="44" t="s">
        <v>38</v>
      </c>
      <c r="K15" s="44" t="s">
        <v>28</v>
      </c>
      <c r="L15" s="44">
        <v>65.099999999999994</v>
      </c>
      <c r="M15" s="44">
        <v>63.8</v>
      </c>
      <c r="N15" s="53" t="s">
        <v>194</v>
      </c>
      <c r="O15" s="53" t="s">
        <v>194</v>
      </c>
    </row>
    <row r="16" spans="2:15" ht="27.75" customHeight="1" x14ac:dyDescent="0.35">
      <c r="B16" s="124" t="s">
        <v>192</v>
      </c>
      <c r="C16" s="55">
        <f>IFERROR(C6/H6,0)</f>
        <v>0.25</v>
      </c>
      <c r="D16" s="56">
        <f>IFERROR(D6/H6,0)</f>
        <v>0.75</v>
      </c>
      <c r="E16" s="56">
        <f>IFERROR(E6/H6,0)</f>
        <v>0</v>
      </c>
      <c r="F16" s="56">
        <f>IFERROR(F6/H6,0)</f>
        <v>0</v>
      </c>
      <c r="G16" s="56">
        <f>IFERROR(G6/H6,0)</f>
        <v>0</v>
      </c>
      <c r="H16" s="129">
        <f>SUM(C16:G16)</f>
        <v>1</v>
      </c>
      <c r="J16" s="49" t="s">
        <v>39</v>
      </c>
      <c r="K16" s="49" t="s">
        <v>28</v>
      </c>
      <c r="L16" s="49">
        <v>32.299999999999997</v>
      </c>
      <c r="M16" s="49">
        <v>44.6</v>
      </c>
      <c r="N16" s="51" t="s">
        <v>196</v>
      </c>
      <c r="O16" s="51" t="s">
        <v>196</v>
      </c>
    </row>
    <row r="17" spans="2:15" ht="27.75" customHeight="1" x14ac:dyDescent="0.35">
      <c r="B17" s="125" t="s">
        <v>193</v>
      </c>
      <c r="C17" s="57">
        <f>IFERROR(C7/H7,0)</f>
        <v>7.6923076923076927E-2</v>
      </c>
      <c r="D17" s="55">
        <f>IFERROR(D7/H7,0)</f>
        <v>0.46153846153846156</v>
      </c>
      <c r="E17" s="56">
        <f>IFERROR(E7/H7,0)</f>
        <v>0.46153846153846156</v>
      </c>
      <c r="F17" s="56">
        <f>IFERROR(F7/H7,0)</f>
        <v>0</v>
      </c>
      <c r="G17" s="56">
        <f>IFERROR(G7/H7,0)</f>
        <v>0</v>
      </c>
      <c r="H17" s="129">
        <f>SUM(C17:G17)</f>
        <v>1</v>
      </c>
      <c r="J17" s="44" t="s">
        <v>40</v>
      </c>
      <c r="K17" s="44" t="s">
        <v>28</v>
      </c>
      <c r="L17" s="44">
        <v>57.3</v>
      </c>
      <c r="M17" s="44">
        <v>54.2</v>
      </c>
      <c r="N17" s="52" t="s">
        <v>195</v>
      </c>
      <c r="O17" s="52" t="s">
        <v>195</v>
      </c>
    </row>
    <row r="18" spans="2:15" ht="27.75" customHeight="1" x14ac:dyDescent="0.35">
      <c r="B18" s="126" t="s">
        <v>194</v>
      </c>
      <c r="C18" s="57">
        <f>IFERROR(C8/H8,0)</f>
        <v>0</v>
      </c>
      <c r="D18" s="57">
        <f>IFERROR(D8/H8,0)</f>
        <v>0.1111111111111111</v>
      </c>
      <c r="E18" s="55">
        <f>IFERROR(E8/H8,0)</f>
        <v>0.66666666666666663</v>
      </c>
      <c r="F18" s="56">
        <f>IFERROR(F8/H8,0)</f>
        <v>0.22222222222222221</v>
      </c>
      <c r="G18" s="56">
        <f>IFERROR(G8/H8,0)</f>
        <v>0</v>
      </c>
      <c r="H18" s="129">
        <f>SUM(C18:G18)</f>
        <v>0.99999999999999989</v>
      </c>
      <c r="J18" s="49" t="s">
        <v>41</v>
      </c>
      <c r="K18" s="49" t="s">
        <v>28</v>
      </c>
      <c r="L18" s="49">
        <v>51.8</v>
      </c>
      <c r="M18" s="49">
        <v>50.7</v>
      </c>
      <c r="N18" s="52" t="s">
        <v>195</v>
      </c>
      <c r="O18" s="52" t="s">
        <v>195</v>
      </c>
    </row>
    <row r="19" spans="2:15" ht="27.75" customHeight="1" x14ac:dyDescent="0.35">
      <c r="B19" s="127" t="s">
        <v>195</v>
      </c>
      <c r="C19" s="57">
        <f>IFERROR(C9/H9,0)</f>
        <v>0</v>
      </c>
      <c r="D19" s="57">
        <f>IFERROR(D9/H9,0)</f>
        <v>0</v>
      </c>
      <c r="E19" s="57">
        <f>IFERROR(E9/H9,0)</f>
        <v>0</v>
      </c>
      <c r="F19" s="55">
        <f>IFERROR(F9/H9,0)</f>
        <v>0.7</v>
      </c>
      <c r="G19" s="56">
        <f>IFERROR(G9/H9,0)</f>
        <v>0.3</v>
      </c>
      <c r="H19" s="129">
        <f>SUM(C19:G19)</f>
        <v>1</v>
      </c>
      <c r="J19" s="44" t="s">
        <v>42</v>
      </c>
      <c r="K19" s="44" t="s">
        <v>28</v>
      </c>
      <c r="L19" s="44">
        <v>44</v>
      </c>
      <c r="M19" s="44">
        <v>55</v>
      </c>
      <c r="N19" s="51" t="s">
        <v>196</v>
      </c>
      <c r="O19" s="52" t="s">
        <v>195</v>
      </c>
    </row>
    <row r="20" spans="2:15" ht="27.75" customHeight="1" x14ac:dyDescent="0.35">
      <c r="B20" s="128" t="s">
        <v>196</v>
      </c>
      <c r="C20" s="57">
        <f>IFERROR(C10/H10,0)</f>
        <v>8.3333333333333329E-2</v>
      </c>
      <c r="D20" s="57">
        <f>IFERROR(D10/H10,0)</f>
        <v>8.3333333333333329E-2</v>
      </c>
      <c r="E20" s="57">
        <f>IFERROR(E10/H10,0)</f>
        <v>8.3333333333333329E-2</v>
      </c>
      <c r="F20" s="57">
        <f>IFERROR(F10/H10,0)</f>
        <v>0.33333333333333331</v>
      </c>
      <c r="G20" s="55">
        <f>IFERROR(G10/H10,0)</f>
        <v>0.41666666666666669</v>
      </c>
      <c r="H20" s="129">
        <f>SUM(C20:G20)</f>
        <v>1</v>
      </c>
      <c r="J20" s="49" t="s">
        <v>43</v>
      </c>
      <c r="K20" s="49" t="s">
        <v>28</v>
      </c>
      <c r="L20" s="49">
        <v>66</v>
      </c>
      <c r="M20" s="49">
        <v>73.5</v>
      </c>
      <c r="N20" s="53" t="s">
        <v>194</v>
      </c>
      <c r="O20" s="45" t="s">
        <v>193</v>
      </c>
    </row>
    <row r="21" spans="2:15" ht="15" customHeight="1" x14ac:dyDescent="0.35">
      <c r="J21" s="44" t="s">
        <v>44</v>
      </c>
      <c r="K21" s="44" t="s">
        <v>45</v>
      </c>
      <c r="L21" s="44">
        <v>69.5</v>
      </c>
      <c r="M21" s="44">
        <v>64.2</v>
      </c>
      <c r="N21" s="53" t="s">
        <v>194</v>
      </c>
      <c r="O21" s="53" t="s">
        <v>194</v>
      </c>
    </row>
    <row r="22" spans="2:15" ht="15" customHeight="1" x14ac:dyDescent="0.35">
      <c r="J22" s="49" t="s">
        <v>46</v>
      </c>
      <c r="K22" s="49" t="s">
        <v>45</v>
      </c>
      <c r="L22" s="49">
        <v>73.900000000000006</v>
      </c>
      <c r="M22" s="49">
        <v>73.599999999999994</v>
      </c>
      <c r="N22" s="45" t="s">
        <v>193</v>
      </c>
      <c r="O22" s="45" t="s">
        <v>193</v>
      </c>
    </row>
    <row r="23" spans="2:15" ht="15" customHeight="1" x14ac:dyDescent="0.35">
      <c r="J23" s="44" t="s">
        <v>47</v>
      </c>
      <c r="K23" s="44" t="s">
        <v>45</v>
      </c>
      <c r="L23" s="44">
        <v>58</v>
      </c>
      <c r="M23" s="44">
        <v>54.8</v>
      </c>
      <c r="N23" s="52" t="s">
        <v>195</v>
      </c>
      <c r="O23" s="52" t="s">
        <v>195</v>
      </c>
    </row>
    <row r="24" spans="2:15" ht="21.75" customHeight="1" x14ac:dyDescent="0.35">
      <c r="B24" s="95" t="s">
        <v>201</v>
      </c>
      <c r="C24" s="95"/>
      <c r="D24" s="95"/>
      <c r="E24" s="95"/>
      <c r="F24" s="95"/>
      <c r="G24" s="95"/>
      <c r="H24" s="95"/>
      <c r="J24" s="49" t="s">
        <v>48</v>
      </c>
      <c r="K24" s="49" t="s">
        <v>45</v>
      </c>
      <c r="L24" s="49">
        <v>46.7</v>
      </c>
      <c r="M24" s="49">
        <v>52.4</v>
      </c>
      <c r="N24" s="51" t="s">
        <v>196</v>
      </c>
      <c r="O24" s="52" t="s">
        <v>195</v>
      </c>
    </row>
    <row r="25" spans="2:15" ht="24" customHeight="1" x14ac:dyDescent="0.35">
      <c r="B25" s="10" t="s">
        <v>188</v>
      </c>
      <c r="C25" s="10" t="s">
        <v>20</v>
      </c>
      <c r="D25" s="10" t="s">
        <v>189</v>
      </c>
      <c r="E25" s="10" t="s">
        <v>115</v>
      </c>
      <c r="F25" s="10" t="s">
        <v>190</v>
      </c>
      <c r="G25" s="10" t="s">
        <v>113</v>
      </c>
      <c r="H25" s="10" t="s">
        <v>202</v>
      </c>
      <c r="J25" s="44" t="s">
        <v>49</v>
      </c>
      <c r="K25" s="44" t="s">
        <v>45</v>
      </c>
      <c r="L25" s="44">
        <v>78</v>
      </c>
      <c r="M25" s="44">
        <v>80.400000000000006</v>
      </c>
      <c r="N25" s="45" t="s">
        <v>193</v>
      </c>
      <c r="O25" s="58" t="s">
        <v>192</v>
      </c>
    </row>
    <row r="26" spans="2:15" ht="18" customHeight="1" x14ac:dyDescent="0.35">
      <c r="B26" s="49" t="s">
        <v>59</v>
      </c>
      <c r="C26" s="49" t="s">
        <v>60</v>
      </c>
      <c r="D26" s="49">
        <v>84.6</v>
      </c>
      <c r="E26" s="58" t="s">
        <v>192</v>
      </c>
      <c r="F26" s="49">
        <v>77.8</v>
      </c>
      <c r="G26" s="45" t="s">
        <v>193</v>
      </c>
      <c r="H26" s="59" t="s">
        <v>203</v>
      </c>
      <c r="J26" s="49" t="s">
        <v>50</v>
      </c>
      <c r="K26" s="49" t="s">
        <v>45</v>
      </c>
      <c r="L26" s="49">
        <v>37.1</v>
      </c>
      <c r="M26" s="49">
        <v>40.4</v>
      </c>
      <c r="N26" s="51" t="s">
        <v>196</v>
      </c>
      <c r="O26" s="51" t="s">
        <v>196</v>
      </c>
    </row>
    <row r="27" spans="2:15" ht="18" customHeight="1" x14ac:dyDescent="0.35">
      <c r="B27" s="44" t="s">
        <v>61</v>
      </c>
      <c r="C27" s="44" t="s">
        <v>60</v>
      </c>
      <c r="D27" s="44">
        <v>65.900000000000006</v>
      </c>
      <c r="E27" s="53" t="s">
        <v>194</v>
      </c>
      <c r="F27" s="44">
        <v>62.6</v>
      </c>
      <c r="G27" s="53" t="s">
        <v>194</v>
      </c>
      <c r="H27" s="60" t="s">
        <v>204</v>
      </c>
      <c r="J27" s="44" t="s">
        <v>51</v>
      </c>
      <c r="K27" s="44" t="s">
        <v>45</v>
      </c>
      <c r="L27" s="44">
        <v>77.400000000000006</v>
      </c>
      <c r="M27" s="44">
        <v>75.599999999999994</v>
      </c>
      <c r="N27" s="45" t="s">
        <v>193</v>
      </c>
      <c r="O27" s="45" t="s">
        <v>193</v>
      </c>
    </row>
    <row r="28" spans="2:15" ht="18" customHeight="1" x14ac:dyDescent="0.35">
      <c r="B28" s="49" t="s">
        <v>122</v>
      </c>
      <c r="C28" s="49" t="s">
        <v>60</v>
      </c>
      <c r="D28" s="49">
        <v>71</v>
      </c>
      <c r="E28" s="45" t="s">
        <v>193</v>
      </c>
      <c r="F28" s="49">
        <v>69.3</v>
      </c>
      <c r="G28" s="53" t="s">
        <v>194</v>
      </c>
      <c r="H28" s="59" t="s">
        <v>203</v>
      </c>
      <c r="J28" s="49" t="s">
        <v>52</v>
      </c>
      <c r="K28" s="49" t="s">
        <v>45</v>
      </c>
      <c r="L28" s="49">
        <v>37.700000000000003</v>
      </c>
      <c r="M28" s="49">
        <v>42.1</v>
      </c>
      <c r="N28" s="51" t="s">
        <v>196</v>
      </c>
      <c r="O28" s="51" t="s">
        <v>196</v>
      </c>
    </row>
    <row r="29" spans="2:15" ht="18" customHeight="1" x14ac:dyDescent="0.35">
      <c r="B29" s="44" t="s">
        <v>63</v>
      </c>
      <c r="C29" s="44" t="s">
        <v>60</v>
      </c>
      <c r="D29" s="44">
        <v>73.8</v>
      </c>
      <c r="E29" s="45" t="s">
        <v>193</v>
      </c>
      <c r="F29" s="44">
        <v>63.2</v>
      </c>
      <c r="G29" s="53" t="s">
        <v>194</v>
      </c>
      <c r="H29" s="59" t="s">
        <v>203</v>
      </c>
      <c r="J29" s="44" t="s">
        <v>53</v>
      </c>
      <c r="K29" s="44" t="s">
        <v>45</v>
      </c>
      <c r="L29" s="44">
        <v>40.4</v>
      </c>
      <c r="M29" s="44">
        <v>45.2</v>
      </c>
      <c r="N29" s="51" t="s">
        <v>196</v>
      </c>
      <c r="O29" s="51" t="s">
        <v>196</v>
      </c>
    </row>
    <row r="30" spans="2:15" ht="18" customHeight="1" x14ac:dyDescent="0.35">
      <c r="B30" s="49" t="s">
        <v>64</v>
      </c>
      <c r="C30" s="49" t="s">
        <v>60</v>
      </c>
      <c r="D30" s="49">
        <v>73.3</v>
      </c>
      <c r="E30" s="45" t="s">
        <v>193</v>
      </c>
      <c r="F30" s="49">
        <v>67.2</v>
      </c>
      <c r="G30" s="53" t="s">
        <v>194</v>
      </c>
      <c r="H30" s="59" t="s">
        <v>203</v>
      </c>
      <c r="J30" s="49" t="s">
        <v>54</v>
      </c>
      <c r="K30" s="49" t="s">
        <v>45</v>
      </c>
      <c r="L30" s="49">
        <v>64.099999999999994</v>
      </c>
      <c r="M30" s="49">
        <v>69.2</v>
      </c>
      <c r="N30" s="53" t="s">
        <v>194</v>
      </c>
      <c r="O30" s="53" t="s">
        <v>194</v>
      </c>
    </row>
    <row r="31" spans="2:15" ht="18" customHeight="1" x14ac:dyDescent="0.35">
      <c r="B31" s="44" t="s">
        <v>65</v>
      </c>
      <c r="C31" s="44" t="s">
        <v>60</v>
      </c>
      <c r="D31" s="44">
        <v>85.9</v>
      </c>
      <c r="E31" s="58" t="s">
        <v>192</v>
      </c>
      <c r="F31" s="44">
        <v>81.3</v>
      </c>
      <c r="G31" s="58" t="s">
        <v>192</v>
      </c>
      <c r="H31" s="60" t="s">
        <v>204</v>
      </c>
      <c r="J31" s="44" t="s">
        <v>55</v>
      </c>
      <c r="K31" s="44" t="s">
        <v>45</v>
      </c>
      <c r="L31" s="44">
        <v>53.8</v>
      </c>
      <c r="M31" s="44">
        <v>54.3</v>
      </c>
      <c r="N31" s="52" t="s">
        <v>195</v>
      </c>
      <c r="O31" s="52" t="s">
        <v>195</v>
      </c>
    </row>
    <row r="32" spans="2:15" ht="18" customHeight="1" x14ac:dyDescent="0.35">
      <c r="B32" s="49" t="s">
        <v>66</v>
      </c>
      <c r="C32" s="49" t="s">
        <v>60</v>
      </c>
      <c r="D32" s="49">
        <v>79.7</v>
      </c>
      <c r="E32" s="45" t="s">
        <v>193</v>
      </c>
      <c r="F32" s="49">
        <v>79.3</v>
      </c>
      <c r="G32" s="45" t="s">
        <v>193</v>
      </c>
      <c r="H32" s="60" t="s">
        <v>204</v>
      </c>
      <c r="J32" s="49" t="s">
        <v>56</v>
      </c>
      <c r="K32" s="49" t="s">
        <v>45</v>
      </c>
      <c r="L32" s="49">
        <v>58.4</v>
      </c>
      <c r="M32" s="49">
        <v>58.7</v>
      </c>
      <c r="N32" s="52" t="s">
        <v>195</v>
      </c>
      <c r="O32" s="52" t="s">
        <v>195</v>
      </c>
    </row>
    <row r="33" spans="2:15" ht="18" customHeight="1" x14ac:dyDescent="0.35">
      <c r="B33" s="44" t="s">
        <v>67</v>
      </c>
      <c r="C33" s="44" t="s">
        <v>60</v>
      </c>
      <c r="D33" s="44">
        <v>47</v>
      </c>
      <c r="E33" s="51" t="s">
        <v>196</v>
      </c>
      <c r="F33" s="44">
        <v>64.2</v>
      </c>
      <c r="G33" s="53" t="s">
        <v>194</v>
      </c>
      <c r="H33" s="61" t="s">
        <v>205</v>
      </c>
      <c r="J33" s="44" t="s">
        <v>119</v>
      </c>
      <c r="K33" s="44" t="s">
        <v>45</v>
      </c>
      <c r="L33" s="44">
        <v>39.9</v>
      </c>
      <c r="M33" s="44">
        <v>73</v>
      </c>
      <c r="N33" s="51" t="s">
        <v>196</v>
      </c>
      <c r="O33" s="45" t="s">
        <v>193</v>
      </c>
    </row>
    <row r="34" spans="2:15" ht="18" customHeight="1" x14ac:dyDescent="0.35">
      <c r="B34" s="49" t="s">
        <v>68</v>
      </c>
      <c r="C34" s="49" t="s">
        <v>60</v>
      </c>
      <c r="D34" s="49">
        <v>65.8</v>
      </c>
      <c r="E34" s="53" t="s">
        <v>194</v>
      </c>
      <c r="F34" s="49">
        <v>67.2</v>
      </c>
      <c r="G34" s="53" t="s">
        <v>194</v>
      </c>
      <c r="H34" s="60" t="s">
        <v>204</v>
      </c>
      <c r="J34" s="49" t="s">
        <v>121</v>
      </c>
      <c r="K34" s="49" t="s">
        <v>45</v>
      </c>
      <c r="L34" s="49">
        <v>44.1</v>
      </c>
      <c r="M34" s="49">
        <v>38.200000000000003</v>
      </c>
      <c r="N34" s="51" t="s">
        <v>196</v>
      </c>
      <c r="O34" s="51" t="s">
        <v>196</v>
      </c>
    </row>
    <row r="35" spans="2:15" ht="18" customHeight="1" x14ac:dyDescent="0.35">
      <c r="B35" s="44" t="s">
        <v>69</v>
      </c>
      <c r="C35" s="44" t="s">
        <v>60</v>
      </c>
      <c r="D35" s="44">
        <v>58.9</v>
      </c>
      <c r="E35" s="52" t="s">
        <v>195</v>
      </c>
      <c r="F35" s="44">
        <v>54.1</v>
      </c>
      <c r="G35" s="52" t="s">
        <v>195</v>
      </c>
      <c r="H35" s="60" t="s">
        <v>204</v>
      </c>
      <c r="J35" s="44" t="s">
        <v>59</v>
      </c>
      <c r="K35" s="44" t="s">
        <v>60</v>
      </c>
      <c r="L35" s="44">
        <v>84.6</v>
      </c>
      <c r="M35" s="44">
        <v>77.8</v>
      </c>
      <c r="N35" s="58" t="s">
        <v>192</v>
      </c>
      <c r="O35" s="45" t="s">
        <v>193</v>
      </c>
    </row>
    <row r="36" spans="2:15" ht="18" customHeight="1" x14ac:dyDescent="0.35">
      <c r="B36" s="49" t="s">
        <v>70</v>
      </c>
      <c r="C36" s="49" t="s">
        <v>60</v>
      </c>
      <c r="D36" s="49">
        <v>70.5</v>
      </c>
      <c r="E36" s="45" t="s">
        <v>193</v>
      </c>
      <c r="F36" s="49">
        <v>63.6</v>
      </c>
      <c r="G36" s="53" t="s">
        <v>194</v>
      </c>
      <c r="H36" s="59" t="s">
        <v>203</v>
      </c>
      <c r="J36" s="49" t="s">
        <v>61</v>
      </c>
      <c r="K36" s="49" t="s">
        <v>60</v>
      </c>
      <c r="L36" s="49">
        <v>65.900000000000006</v>
      </c>
      <c r="M36" s="49">
        <v>62.6</v>
      </c>
      <c r="N36" s="53" t="s">
        <v>194</v>
      </c>
      <c r="O36" s="53" t="s">
        <v>194</v>
      </c>
    </row>
    <row r="37" spans="2:15" ht="18" customHeight="1" x14ac:dyDescent="0.35">
      <c r="B37" s="44" t="s">
        <v>71</v>
      </c>
      <c r="C37" s="44" t="s">
        <v>60</v>
      </c>
      <c r="D37" s="44">
        <v>63.2</v>
      </c>
      <c r="E37" s="53" t="s">
        <v>194</v>
      </c>
      <c r="F37" s="44">
        <v>56.2</v>
      </c>
      <c r="G37" s="52" t="s">
        <v>195</v>
      </c>
      <c r="H37" s="59" t="s">
        <v>203</v>
      </c>
      <c r="J37" s="44" t="s">
        <v>122</v>
      </c>
      <c r="K37" s="44" t="s">
        <v>60</v>
      </c>
      <c r="L37" s="44">
        <v>71</v>
      </c>
      <c r="M37" s="44">
        <v>69.3</v>
      </c>
      <c r="N37" s="45" t="s">
        <v>193</v>
      </c>
      <c r="O37" s="53" t="s">
        <v>194</v>
      </c>
    </row>
    <row r="38" spans="2:15" ht="18" customHeight="1" x14ac:dyDescent="0.35">
      <c r="B38" s="49" t="s">
        <v>72</v>
      </c>
      <c r="C38" s="49" t="s">
        <v>60</v>
      </c>
      <c r="D38" s="49">
        <v>48.6</v>
      </c>
      <c r="E38" s="51" t="s">
        <v>196</v>
      </c>
      <c r="F38" s="49">
        <v>83.2</v>
      </c>
      <c r="G38" s="58" t="s">
        <v>192</v>
      </c>
      <c r="H38" s="61" t="s">
        <v>205</v>
      </c>
      <c r="J38" s="49" t="s">
        <v>63</v>
      </c>
      <c r="K38" s="49" t="s">
        <v>60</v>
      </c>
      <c r="L38" s="49">
        <v>73.8</v>
      </c>
      <c r="M38" s="49">
        <v>63.2</v>
      </c>
      <c r="N38" s="45" t="s">
        <v>193</v>
      </c>
      <c r="O38" s="53" t="s">
        <v>194</v>
      </c>
    </row>
    <row r="39" spans="2:15" ht="18" customHeight="1" x14ac:dyDescent="0.35">
      <c r="B39" s="44" t="s">
        <v>73</v>
      </c>
      <c r="C39" s="44" t="s">
        <v>60</v>
      </c>
      <c r="D39" s="44">
        <v>84.9</v>
      </c>
      <c r="E39" s="58" t="s">
        <v>192</v>
      </c>
      <c r="F39" s="44">
        <v>70.2</v>
      </c>
      <c r="G39" s="45" t="s">
        <v>193</v>
      </c>
      <c r="H39" s="59" t="s">
        <v>203</v>
      </c>
      <c r="J39" s="44" t="s">
        <v>64</v>
      </c>
      <c r="K39" s="44" t="s">
        <v>60</v>
      </c>
      <c r="L39" s="44">
        <v>73.3</v>
      </c>
      <c r="M39" s="44">
        <v>67.2</v>
      </c>
      <c r="N39" s="45" t="s">
        <v>193</v>
      </c>
      <c r="O39" s="53" t="s">
        <v>194</v>
      </c>
    </row>
    <row r="40" spans="2:15" ht="18" customHeight="1" x14ac:dyDescent="0.35">
      <c r="B40" s="49" t="s">
        <v>74</v>
      </c>
      <c r="C40" s="49" t="s">
        <v>60</v>
      </c>
      <c r="D40" s="49">
        <v>64.400000000000006</v>
      </c>
      <c r="E40" s="53" t="s">
        <v>194</v>
      </c>
      <c r="F40" s="49">
        <v>55.5</v>
      </c>
      <c r="G40" s="52" t="s">
        <v>195</v>
      </c>
      <c r="H40" s="59" t="s">
        <v>203</v>
      </c>
      <c r="J40" s="49" t="s">
        <v>65</v>
      </c>
      <c r="K40" s="49" t="s">
        <v>60</v>
      </c>
      <c r="L40" s="49">
        <v>85.9</v>
      </c>
      <c r="M40" s="49">
        <v>81.3</v>
      </c>
      <c r="N40" s="58" t="s">
        <v>192</v>
      </c>
      <c r="O40" s="58" t="s">
        <v>192</v>
      </c>
    </row>
    <row r="41" spans="2:15" ht="18" customHeight="1" x14ac:dyDescent="0.35">
      <c r="B41" s="44" t="s">
        <v>76</v>
      </c>
      <c r="C41" s="44" t="s">
        <v>60</v>
      </c>
      <c r="D41" s="44">
        <v>85.8</v>
      </c>
      <c r="E41" s="58" t="s">
        <v>192</v>
      </c>
      <c r="F41" s="44">
        <v>78.599999999999994</v>
      </c>
      <c r="G41" s="45" t="s">
        <v>193</v>
      </c>
      <c r="H41" s="59" t="s">
        <v>203</v>
      </c>
      <c r="J41" s="44" t="s">
        <v>66</v>
      </c>
      <c r="K41" s="44" t="s">
        <v>60</v>
      </c>
      <c r="L41" s="44">
        <v>79.7</v>
      </c>
      <c r="M41" s="44">
        <v>79.3</v>
      </c>
      <c r="N41" s="45" t="s">
        <v>193</v>
      </c>
      <c r="O41" s="45" t="s">
        <v>193</v>
      </c>
    </row>
    <row r="42" spans="2:15" ht="18" customHeight="1" x14ac:dyDescent="0.35">
      <c r="B42" s="49" t="s">
        <v>77</v>
      </c>
      <c r="C42" s="49" t="s">
        <v>60</v>
      </c>
      <c r="D42" s="49">
        <v>56.8</v>
      </c>
      <c r="E42" s="52" t="s">
        <v>195</v>
      </c>
      <c r="F42" s="49">
        <v>47.8</v>
      </c>
      <c r="G42" s="51" t="s">
        <v>196</v>
      </c>
      <c r="H42" s="59" t="s">
        <v>203</v>
      </c>
      <c r="J42" s="49" t="s">
        <v>67</v>
      </c>
      <c r="K42" s="49" t="s">
        <v>60</v>
      </c>
      <c r="L42" s="49">
        <v>47</v>
      </c>
      <c r="M42" s="49">
        <v>64.2</v>
      </c>
      <c r="N42" s="51" t="s">
        <v>196</v>
      </c>
      <c r="O42" s="53" t="s">
        <v>194</v>
      </c>
    </row>
    <row r="43" spans="2:15" ht="18" customHeight="1" x14ac:dyDescent="0.35">
      <c r="B43" s="44" t="s">
        <v>75</v>
      </c>
      <c r="C43" s="44" t="s">
        <v>60</v>
      </c>
      <c r="D43" s="44">
        <v>57.5</v>
      </c>
      <c r="E43" s="52" t="s">
        <v>195</v>
      </c>
      <c r="F43" s="44">
        <v>46.4</v>
      </c>
      <c r="G43" s="51" t="s">
        <v>196</v>
      </c>
      <c r="H43" s="59" t="s">
        <v>203</v>
      </c>
      <c r="J43" s="44" t="s">
        <v>68</v>
      </c>
      <c r="K43" s="44" t="s">
        <v>60</v>
      </c>
      <c r="L43" s="44">
        <v>65.8</v>
      </c>
      <c r="M43" s="44">
        <v>67.2</v>
      </c>
      <c r="N43" s="53" t="s">
        <v>194</v>
      </c>
      <c r="O43" s="53" t="s">
        <v>194</v>
      </c>
    </row>
    <row r="44" spans="2:15" ht="18" customHeight="1" x14ac:dyDescent="0.35">
      <c r="B44" s="49" t="s">
        <v>27</v>
      </c>
      <c r="C44" s="49" t="s">
        <v>28</v>
      </c>
      <c r="D44" s="49">
        <v>74.2</v>
      </c>
      <c r="E44" s="45" t="s">
        <v>193</v>
      </c>
      <c r="F44" s="49">
        <v>77.400000000000006</v>
      </c>
      <c r="G44" s="45" t="s">
        <v>193</v>
      </c>
      <c r="H44" s="60" t="s">
        <v>204</v>
      </c>
      <c r="J44" s="49" t="s">
        <v>69</v>
      </c>
      <c r="K44" s="49" t="s">
        <v>60</v>
      </c>
      <c r="L44" s="49">
        <v>58.9</v>
      </c>
      <c r="M44" s="49">
        <v>54.1</v>
      </c>
      <c r="N44" s="52" t="s">
        <v>195</v>
      </c>
      <c r="O44" s="52" t="s">
        <v>195</v>
      </c>
    </row>
    <row r="45" spans="2:15" ht="18" customHeight="1" x14ac:dyDescent="0.35">
      <c r="B45" s="44" t="s">
        <v>29</v>
      </c>
      <c r="C45" s="44" t="s">
        <v>28</v>
      </c>
      <c r="D45" s="44">
        <v>74.2</v>
      </c>
      <c r="E45" s="45" t="s">
        <v>193</v>
      </c>
      <c r="F45" s="44">
        <v>75.8</v>
      </c>
      <c r="G45" s="45" t="s">
        <v>193</v>
      </c>
      <c r="H45" s="60" t="s">
        <v>204</v>
      </c>
      <c r="J45" s="44" t="s">
        <v>70</v>
      </c>
      <c r="K45" s="44" t="s">
        <v>60</v>
      </c>
      <c r="L45" s="44">
        <v>70.5</v>
      </c>
      <c r="M45" s="44">
        <v>63.6</v>
      </c>
      <c r="N45" s="45" t="s">
        <v>193</v>
      </c>
      <c r="O45" s="53" t="s">
        <v>194</v>
      </c>
    </row>
    <row r="46" spans="2:15" ht="18" customHeight="1" x14ac:dyDescent="0.35">
      <c r="B46" s="49" t="s">
        <v>30</v>
      </c>
      <c r="C46" s="49" t="s">
        <v>28</v>
      </c>
      <c r="D46" s="49">
        <v>43.3</v>
      </c>
      <c r="E46" s="51" t="s">
        <v>196</v>
      </c>
      <c r="F46" s="49">
        <v>55.4</v>
      </c>
      <c r="G46" s="52" t="s">
        <v>195</v>
      </c>
      <c r="H46" s="61" t="s">
        <v>205</v>
      </c>
      <c r="J46" s="49" t="s">
        <v>71</v>
      </c>
      <c r="K46" s="49" t="s">
        <v>60</v>
      </c>
      <c r="L46" s="49">
        <v>63.2</v>
      </c>
      <c r="M46" s="49">
        <v>56.2</v>
      </c>
      <c r="N46" s="53" t="s">
        <v>194</v>
      </c>
      <c r="O46" s="52" t="s">
        <v>195</v>
      </c>
    </row>
    <row r="47" spans="2:15" ht="18" customHeight="1" x14ac:dyDescent="0.35">
      <c r="B47" s="44" t="s">
        <v>31</v>
      </c>
      <c r="C47" s="44" t="s">
        <v>28</v>
      </c>
      <c r="D47" s="44">
        <v>52.4</v>
      </c>
      <c r="E47" s="52" t="s">
        <v>195</v>
      </c>
      <c r="F47" s="44">
        <v>56.7</v>
      </c>
      <c r="G47" s="52" t="s">
        <v>195</v>
      </c>
      <c r="H47" s="60" t="s">
        <v>204</v>
      </c>
      <c r="J47" s="44" t="s">
        <v>72</v>
      </c>
      <c r="K47" s="44" t="s">
        <v>60</v>
      </c>
      <c r="L47" s="44">
        <v>48.6</v>
      </c>
      <c r="M47" s="44">
        <v>83.2</v>
      </c>
      <c r="N47" s="51" t="s">
        <v>196</v>
      </c>
      <c r="O47" s="58" t="s">
        <v>192</v>
      </c>
    </row>
    <row r="48" spans="2:15" ht="18" customHeight="1" x14ac:dyDescent="0.35">
      <c r="B48" s="49" t="s">
        <v>32</v>
      </c>
      <c r="C48" s="49" t="s">
        <v>28</v>
      </c>
      <c r="D48" s="49">
        <v>50.7</v>
      </c>
      <c r="E48" s="52" t="s">
        <v>195</v>
      </c>
      <c r="F48" s="49">
        <v>42.5</v>
      </c>
      <c r="G48" s="51" t="s">
        <v>196</v>
      </c>
      <c r="H48" s="59" t="s">
        <v>203</v>
      </c>
      <c r="J48" s="49" t="s">
        <v>73</v>
      </c>
      <c r="K48" s="49" t="s">
        <v>60</v>
      </c>
      <c r="L48" s="49">
        <v>84.9</v>
      </c>
      <c r="M48" s="49">
        <v>70.2</v>
      </c>
      <c r="N48" s="58" t="s">
        <v>192</v>
      </c>
      <c r="O48" s="45" t="s">
        <v>193</v>
      </c>
    </row>
    <row r="49" spans="2:15" ht="18" customHeight="1" x14ac:dyDescent="0.35">
      <c r="B49" s="44" t="s">
        <v>33</v>
      </c>
      <c r="C49" s="44" t="s">
        <v>28</v>
      </c>
      <c r="D49" s="44">
        <v>69.8</v>
      </c>
      <c r="E49" s="53" t="s">
        <v>194</v>
      </c>
      <c r="F49" s="44">
        <v>63.5</v>
      </c>
      <c r="G49" s="53" t="s">
        <v>194</v>
      </c>
      <c r="H49" s="60" t="s">
        <v>204</v>
      </c>
      <c r="J49" s="44" t="s">
        <v>74</v>
      </c>
      <c r="K49" s="44" t="s">
        <v>60</v>
      </c>
      <c r="L49" s="44">
        <v>64.400000000000006</v>
      </c>
      <c r="M49" s="44">
        <v>55.5</v>
      </c>
      <c r="N49" s="53" t="s">
        <v>194</v>
      </c>
      <c r="O49" s="52" t="s">
        <v>195</v>
      </c>
    </row>
    <row r="50" spans="2:15" ht="18" customHeight="1" x14ac:dyDescent="0.35">
      <c r="B50" s="49" t="s">
        <v>34</v>
      </c>
      <c r="C50" s="49" t="s">
        <v>28</v>
      </c>
      <c r="D50" s="49">
        <v>75.8</v>
      </c>
      <c r="E50" s="45" t="s">
        <v>193</v>
      </c>
      <c r="F50" s="49">
        <v>78.8</v>
      </c>
      <c r="G50" s="45" t="s">
        <v>193</v>
      </c>
      <c r="H50" s="60" t="s">
        <v>204</v>
      </c>
      <c r="J50" s="49" t="s">
        <v>76</v>
      </c>
      <c r="K50" s="49" t="s">
        <v>60</v>
      </c>
      <c r="L50" s="49">
        <v>85.8</v>
      </c>
      <c r="M50" s="49">
        <v>78.599999999999994</v>
      </c>
      <c r="N50" s="58" t="s">
        <v>192</v>
      </c>
      <c r="O50" s="45" t="s">
        <v>193</v>
      </c>
    </row>
    <row r="51" spans="2:15" ht="18" customHeight="1" x14ac:dyDescent="0.35">
      <c r="B51" s="44" t="s">
        <v>35</v>
      </c>
      <c r="C51" s="44" t="s">
        <v>28</v>
      </c>
      <c r="D51" s="44">
        <v>40.700000000000003</v>
      </c>
      <c r="E51" s="51" t="s">
        <v>196</v>
      </c>
      <c r="F51" s="44">
        <v>53.7</v>
      </c>
      <c r="G51" s="52" t="s">
        <v>195</v>
      </c>
      <c r="H51" s="61" t="s">
        <v>205</v>
      </c>
      <c r="J51" s="44" t="s">
        <v>77</v>
      </c>
      <c r="K51" s="44" t="s">
        <v>60</v>
      </c>
      <c r="L51" s="44">
        <v>56.8</v>
      </c>
      <c r="M51" s="44">
        <v>47.8</v>
      </c>
      <c r="N51" s="52" t="s">
        <v>195</v>
      </c>
      <c r="O51" s="51" t="s">
        <v>196</v>
      </c>
    </row>
    <row r="52" spans="2:15" ht="18" customHeight="1" x14ac:dyDescent="0.35">
      <c r="B52" s="49" t="s">
        <v>36</v>
      </c>
      <c r="C52" s="49" t="s">
        <v>28</v>
      </c>
      <c r="D52" s="49">
        <v>70.900000000000006</v>
      </c>
      <c r="E52" s="45" t="s">
        <v>193</v>
      </c>
      <c r="F52" s="49">
        <v>67.900000000000006</v>
      </c>
      <c r="G52" s="53" t="s">
        <v>194</v>
      </c>
      <c r="H52" s="59" t="s">
        <v>203</v>
      </c>
      <c r="J52" s="49" t="s">
        <v>75</v>
      </c>
      <c r="K52" s="49" t="s">
        <v>60</v>
      </c>
      <c r="L52" s="49">
        <v>57.5</v>
      </c>
      <c r="M52" s="49">
        <v>46.4</v>
      </c>
      <c r="N52" s="52" t="s">
        <v>195</v>
      </c>
      <c r="O52" s="51" t="s">
        <v>196</v>
      </c>
    </row>
    <row r="53" spans="2:15" ht="18" customHeight="1" x14ac:dyDescent="0.35">
      <c r="B53" s="44" t="s">
        <v>37</v>
      </c>
      <c r="C53" s="44" t="s">
        <v>28</v>
      </c>
      <c r="D53" s="44">
        <v>71.400000000000006</v>
      </c>
      <c r="E53" s="45" t="s">
        <v>193</v>
      </c>
      <c r="F53" s="44">
        <v>67.3</v>
      </c>
      <c r="G53" s="53" t="s">
        <v>194</v>
      </c>
      <c r="H53" s="59" t="s">
        <v>203</v>
      </c>
    </row>
    <row r="54" spans="2:15" ht="18" customHeight="1" x14ac:dyDescent="0.35">
      <c r="B54" s="49" t="s">
        <v>38</v>
      </c>
      <c r="C54" s="49" t="s">
        <v>28</v>
      </c>
      <c r="D54" s="49">
        <v>65.099999999999994</v>
      </c>
      <c r="E54" s="53" t="s">
        <v>194</v>
      </c>
      <c r="F54" s="49">
        <v>63.8</v>
      </c>
      <c r="G54" s="53" t="s">
        <v>194</v>
      </c>
      <c r="H54" s="60" t="s">
        <v>204</v>
      </c>
    </row>
    <row r="55" spans="2:15" ht="18" customHeight="1" x14ac:dyDescent="0.35">
      <c r="B55" s="44" t="s">
        <v>39</v>
      </c>
      <c r="C55" s="44" t="s">
        <v>28</v>
      </c>
      <c r="D55" s="44">
        <v>32.299999999999997</v>
      </c>
      <c r="E55" s="51" t="s">
        <v>196</v>
      </c>
      <c r="F55" s="44">
        <v>44.6</v>
      </c>
      <c r="G55" s="51" t="s">
        <v>196</v>
      </c>
      <c r="H55" s="60" t="s">
        <v>204</v>
      </c>
    </row>
    <row r="56" spans="2:15" ht="18" customHeight="1" x14ac:dyDescent="0.35">
      <c r="B56" s="49" t="s">
        <v>40</v>
      </c>
      <c r="C56" s="49" t="s">
        <v>28</v>
      </c>
      <c r="D56" s="49">
        <v>57.3</v>
      </c>
      <c r="E56" s="52" t="s">
        <v>195</v>
      </c>
      <c r="F56" s="49">
        <v>54.2</v>
      </c>
      <c r="G56" s="52" t="s">
        <v>195</v>
      </c>
      <c r="H56" s="60" t="s">
        <v>204</v>
      </c>
    </row>
    <row r="57" spans="2:15" ht="18" customHeight="1" x14ac:dyDescent="0.35">
      <c r="B57" s="44" t="s">
        <v>41</v>
      </c>
      <c r="C57" s="44" t="s">
        <v>28</v>
      </c>
      <c r="D57" s="44">
        <v>51.8</v>
      </c>
      <c r="E57" s="52" t="s">
        <v>195</v>
      </c>
      <c r="F57" s="44">
        <v>50.7</v>
      </c>
      <c r="G57" s="52" t="s">
        <v>195</v>
      </c>
      <c r="H57" s="60" t="s">
        <v>204</v>
      </c>
    </row>
    <row r="58" spans="2:15" ht="18" customHeight="1" x14ac:dyDescent="0.35">
      <c r="B58" s="49" t="s">
        <v>42</v>
      </c>
      <c r="C58" s="49" t="s">
        <v>28</v>
      </c>
      <c r="D58" s="49">
        <v>44</v>
      </c>
      <c r="E58" s="51" t="s">
        <v>196</v>
      </c>
      <c r="F58" s="49">
        <v>55</v>
      </c>
      <c r="G58" s="52" t="s">
        <v>195</v>
      </c>
      <c r="H58" s="61" t="s">
        <v>205</v>
      </c>
    </row>
    <row r="59" spans="2:15" ht="18" customHeight="1" x14ac:dyDescent="0.35">
      <c r="B59" s="44" t="s">
        <v>43</v>
      </c>
      <c r="C59" s="44" t="s">
        <v>28</v>
      </c>
      <c r="D59" s="44">
        <v>66</v>
      </c>
      <c r="E59" s="53" t="s">
        <v>194</v>
      </c>
      <c r="F59" s="44">
        <v>73.5</v>
      </c>
      <c r="G59" s="45" t="s">
        <v>193</v>
      </c>
      <c r="H59" s="61" t="s">
        <v>205</v>
      </c>
    </row>
    <row r="60" spans="2:15" ht="18" customHeight="1" x14ac:dyDescent="0.35">
      <c r="B60" s="49" t="s">
        <v>44</v>
      </c>
      <c r="C60" s="49" t="s">
        <v>45</v>
      </c>
      <c r="D60" s="49">
        <v>69.5</v>
      </c>
      <c r="E60" s="53" t="s">
        <v>194</v>
      </c>
      <c r="F60" s="49">
        <v>64.2</v>
      </c>
      <c r="G60" s="53" t="s">
        <v>194</v>
      </c>
      <c r="H60" s="60" t="s">
        <v>204</v>
      </c>
    </row>
    <row r="61" spans="2:15" ht="18" customHeight="1" x14ac:dyDescent="0.35">
      <c r="B61" s="44" t="s">
        <v>46</v>
      </c>
      <c r="C61" s="44" t="s">
        <v>45</v>
      </c>
      <c r="D61" s="44">
        <v>73.900000000000006</v>
      </c>
      <c r="E61" s="45" t="s">
        <v>193</v>
      </c>
      <c r="F61" s="44">
        <v>73.599999999999994</v>
      </c>
      <c r="G61" s="45" t="s">
        <v>193</v>
      </c>
      <c r="H61" s="60" t="s">
        <v>204</v>
      </c>
    </row>
    <row r="62" spans="2:15" ht="18" customHeight="1" x14ac:dyDescent="0.35">
      <c r="B62" s="49" t="s">
        <v>47</v>
      </c>
      <c r="C62" s="49" t="s">
        <v>45</v>
      </c>
      <c r="D62" s="49">
        <v>58</v>
      </c>
      <c r="E62" s="52" t="s">
        <v>195</v>
      </c>
      <c r="F62" s="49">
        <v>54.8</v>
      </c>
      <c r="G62" s="52" t="s">
        <v>195</v>
      </c>
      <c r="H62" s="60" t="s">
        <v>204</v>
      </c>
    </row>
    <row r="63" spans="2:15" ht="18" customHeight="1" x14ac:dyDescent="0.35">
      <c r="B63" s="44" t="s">
        <v>48</v>
      </c>
      <c r="C63" s="44" t="s">
        <v>45</v>
      </c>
      <c r="D63" s="44">
        <v>46.7</v>
      </c>
      <c r="E63" s="51" t="s">
        <v>196</v>
      </c>
      <c r="F63" s="44">
        <v>52.4</v>
      </c>
      <c r="G63" s="52" t="s">
        <v>195</v>
      </c>
      <c r="H63" s="61" t="s">
        <v>205</v>
      </c>
    </row>
    <row r="64" spans="2:15" ht="18" customHeight="1" x14ac:dyDescent="0.35">
      <c r="B64" s="49" t="s">
        <v>49</v>
      </c>
      <c r="C64" s="49" t="s">
        <v>45</v>
      </c>
      <c r="D64" s="49">
        <v>78</v>
      </c>
      <c r="E64" s="45" t="s">
        <v>193</v>
      </c>
      <c r="F64" s="49">
        <v>80.400000000000006</v>
      </c>
      <c r="G64" s="58" t="s">
        <v>192</v>
      </c>
      <c r="H64" s="61" t="s">
        <v>205</v>
      </c>
    </row>
    <row r="65" spans="2:8" ht="18" customHeight="1" x14ac:dyDescent="0.35">
      <c r="B65" s="44" t="s">
        <v>50</v>
      </c>
      <c r="C65" s="44" t="s">
        <v>45</v>
      </c>
      <c r="D65" s="44">
        <v>37.1</v>
      </c>
      <c r="E65" s="51" t="s">
        <v>196</v>
      </c>
      <c r="F65" s="44">
        <v>40.4</v>
      </c>
      <c r="G65" s="51" t="s">
        <v>196</v>
      </c>
      <c r="H65" s="60" t="s">
        <v>204</v>
      </c>
    </row>
    <row r="66" spans="2:8" ht="18" customHeight="1" x14ac:dyDescent="0.35">
      <c r="B66" s="49" t="s">
        <v>51</v>
      </c>
      <c r="C66" s="49" t="s">
        <v>45</v>
      </c>
      <c r="D66" s="49">
        <v>77.400000000000006</v>
      </c>
      <c r="E66" s="45" t="s">
        <v>193</v>
      </c>
      <c r="F66" s="49">
        <v>75.599999999999994</v>
      </c>
      <c r="G66" s="45" t="s">
        <v>193</v>
      </c>
      <c r="H66" s="60" t="s">
        <v>204</v>
      </c>
    </row>
    <row r="67" spans="2:8" ht="18" customHeight="1" x14ac:dyDescent="0.35">
      <c r="B67" s="44" t="s">
        <v>52</v>
      </c>
      <c r="C67" s="44" t="s">
        <v>45</v>
      </c>
      <c r="D67" s="44">
        <v>37.700000000000003</v>
      </c>
      <c r="E67" s="51" t="s">
        <v>196</v>
      </c>
      <c r="F67" s="44">
        <v>42.1</v>
      </c>
      <c r="G67" s="51" t="s">
        <v>196</v>
      </c>
      <c r="H67" s="60" t="s">
        <v>204</v>
      </c>
    </row>
    <row r="68" spans="2:8" ht="18" customHeight="1" x14ac:dyDescent="0.35">
      <c r="B68" s="49" t="s">
        <v>53</v>
      </c>
      <c r="C68" s="49" t="s">
        <v>45</v>
      </c>
      <c r="D68" s="49">
        <v>40.4</v>
      </c>
      <c r="E68" s="51" t="s">
        <v>196</v>
      </c>
      <c r="F68" s="49">
        <v>45.2</v>
      </c>
      <c r="G68" s="51" t="s">
        <v>196</v>
      </c>
      <c r="H68" s="60" t="s">
        <v>204</v>
      </c>
    </row>
    <row r="69" spans="2:8" ht="18" customHeight="1" x14ac:dyDescent="0.35">
      <c r="B69" s="44" t="s">
        <v>54</v>
      </c>
      <c r="C69" s="44" t="s">
        <v>45</v>
      </c>
      <c r="D69" s="44">
        <v>64.099999999999994</v>
      </c>
      <c r="E69" s="53" t="s">
        <v>194</v>
      </c>
      <c r="F69" s="44">
        <v>69.2</v>
      </c>
      <c r="G69" s="53" t="s">
        <v>194</v>
      </c>
      <c r="H69" s="60" t="s">
        <v>204</v>
      </c>
    </row>
    <row r="70" spans="2:8" ht="18" customHeight="1" x14ac:dyDescent="0.35">
      <c r="B70" s="49" t="s">
        <v>55</v>
      </c>
      <c r="C70" s="49" t="s">
        <v>45</v>
      </c>
      <c r="D70" s="49">
        <v>53.8</v>
      </c>
      <c r="E70" s="52" t="s">
        <v>195</v>
      </c>
      <c r="F70" s="49">
        <v>54.3</v>
      </c>
      <c r="G70" s="52" t="s">
        <v>195</v>
      </c>
      <c r="H70" s="60" t="s">
        <v>204</v>
      </c>
    </row>
    <row r="71" spans="2:8" ht="18" customHeight="1" x14ac:dyDescent="0.35">
      <c r="B71" s="44" t="s">
        <v>56</v>
      </c>
      <c r="C71" s="44" t="s">
        <v>45</v>
      </c>
      <c r="D71" s="44">
        <v>58.4</v>
      </c>
      <c r="E71" s="52" t="s">
        <v>195</v>
      </c>
      <c r="F71" s="44">
        <v>58.7</v>
      </c>
      <c r="G71" s="52" t="s">
        <v>195</v>
      </c>
      <c r="H71" s="60" t="s">
        <v>204</v>
      </c>
    </row>
    <row r="72" spans="2:8" ht="18" customHeight="1" x14ac:dyDescent="0.35">
      <c r="B72" s="49" t="s">
        <v>119</v>
      </c>
      <c r="C72" s="49" t="s">
        <v>45</v>
      </c>
      <c r="D72" s="49">
        <v>39.9</v>
      </c>
      <c r="E72" s="51" t="s">
        <v>196</v>
      </c>
      <c r="F72" s="49">
        <v>73</v>
      </c>
      <c r="G72" s="45" t="s">
        <v>193</v>
      </c>
      <c r="H72" s="61" t="s">
        <v>205</v>
      </c>
    </row>
    <row r="73" spans="2:8" ht="18" customHeight="1" x14ac:dyDescent="0.35">
      <c r="B73" s="44" t="s">
        <v>121</v>
      </c>
      <c r="C73" s="44" t="s">
        <v>45</v>
      </c>
      <c r="D73" s="44">
        <v>44.1</v>
      </c>
      <c r="E73" s="51" t="s">
        <v>196</v>
      </c>
      <c r="F73" s="44">
        <v>38.200000000000003</v>
      </c>
      <c r="G73" s="51" t="s">
        <v>196</v>
      </c>
      <c r="H73" s="60" t="s">
        <v>204</v>
      </c>
    </row>
    <row r="76" spans="2:8" ht="21.75" customHeight="1" x14ac:dyDescent="0.35">
      <c r="B76" s="94" t="s">
        <v>206</v>
      </c>
      <c r="C76" s="94"/>
      <c r="D76" s="94"/>
      <c r="E76" s="94"/>
      <c r="F76" s="94"/>
      <c r="G76" s="94"/>
      <c r="H76" s="94"/>
    </row>
    <row r="77" spans="2:8" ht="21.75" customHeight="1" x14ac:dyDescent="0.35">
      <c r="B77" s="114" t="s">
        <v>207</v>
      </c>
      <c r="C77" s="114"/>
      <c r="D77" s="114"/>
      <c r="E77" s="114"/>
      <c r="F77" s="106">
        <f>COUNTA(J5:J52)</f>
        <v>48</v>
      </c>
      <c r="G77" s="106"/>
      <c r="H77" s="106"/>
    </row>
    <row r="78" spans="2:8" ht="21.75" customHeight="1" x14ac:dyDescent="0.35">
      <c r="B78" s="113" t="s">
        <v>208</v>
      </c>
      <c r="C78" s="113"/>
      <c r="D78" s="113"/>
      <c r="E78" s="113"/>
      <c r="F78" s="106">
        <f>COUNTIF(H26:H73,"Improved")</f>
        <v>9</v>
      </c>
      <c r="G78" s="106"/>
      <c r="H78" s="106"/>
    </row>
    <row r="79" spans="2:8" ht="21.75" customHeight="1" x14ac:dyDescent="0.35">
      <c r="B79" s="110" t="s">
        <v>209</v>
      </c>
      <c r="C79" s="110"/>
      <c r="D79" s="110"/>
      <c r="E79" s="110"/>
      <c r="F79" s="106">
        <f>COUNTIF(H26:H73,"Same")</f>
        <v>25</v>
      </c>
      <c r="G79" s="106"/>
      <c r="H79" s="106"/>
    </row>
    <row r="80" spans="2:8" ht="21.75" customHeight="1" x14ac:dyDescent="0.35">
      <c r="B80" s="112" t="s">
        <v>210</v>
      </c>
      <c r="C80" s="112"/>
      <c r="D80" s="112"/>
      <c r="E80" s="112"/>
      <c r="F80" s="106">
        <f>COUNTIF(H26:H73,"Declined")</f>
        <v>14</v>
      </c>
      <c r="G80" s="106"/>
      <c r="H80" s="106"/>
    </row>
    <row r="81" spans="2:8" ht="21.75" customHeight="1" x14ac:dyDescent="0.35">
      <c r="B81" s="113" t="s">
        <v>211</v>
      </c>
      <c r="C81" s="113"/>
      <c r="D81" s="113"/>
      <c r="E81" s="113"/>
      <c r="F81" s="111">
        <f>COUNTIF(H26:H73,"Improved")/COUNTA(J5:J52)</f>
        <v>0.1875</v>
      </c>
      <c r="G81" s="111"/>
      <c r="H81" s="111"/>
    </row>
    <row r="82" spans="2:8" ht="21.75" customHeight="1" x14ac:dyDescent="0.35">
      <c r="B82" s="110" t="s">
        <v>212</v>
      </c>
      <c r="C82" s="110"/>
      <c r="D82" s="110"/>
      <c r="E82" s="110"/>
      <c r="F82" s="111">
        <f>COUNTIF(H26:H73,"Same")/COUNTA(J5:J52)</f>
        <v>0.52083333333333337</v>
      </c>
      <c r="G82" s="111"/>
      <c r="H82" s="111"/>
    </row>
    <row r="83" spans="2:8" ht="21.75" customHeight="1" x14ac:dyDescent="0.35">
      <c r="B83" s="112" t="s">
        <v>213</v>
      </c>
      <c r="C83" s="112"/>
      <c r="D83" s="112"/>
      <c r="E83" s="112"/>
      <c r="F83" s="111">
        <f>COUNTIF(H26:H73,"Declined")/COUNTA(J5:J52)</f>
        <v>0.29166666666666669</v>
      </c>
      <c r="G83" s="111"/>
      <c r="H83" s="111"/>
    </row>
    <row r="84" spans="2:8" ht="21.75" customHeight="1" x14ac:dyDescent="0.35">
      <c r="B84" s="105" t="s">
        <v>214</v>
      </c>
      <c r="C84" s="105"/>
      <c r="D84" s="105"/>
      <c r="E84" s="105"/>
      <c r="F84" s="106" t="str">
        <f>INDEX(B6:B10,MATCH(MAX(H6:H10),H6:H10,0))</f>
        <v>B</v>
      </c>
      <c r="G84" s="106"/>
      <c r="H84" s="106"/>
    </row>
    <row r="85" spans="2:8" ht="21.75" customHeight="1" x14ac:dyDescent="0.35">
      <c r="B85" s="105" t="s">
        <v>215</v>
      </c>
      <c r="C85" s="105"/>
      <c r="D85" s="105"/>
      <c r="E85" s="105"/>
      <c r="F85" s="108" t="s">
        <v>194</v>
      </c>
      <c r="G85" s="108"/>
      <c r="H85" s="108"/>
    </row>
    <row r="88" spans="2:8" ht="109.5" customHeight="1" x14ac:dyDescent="0.35">
      <c r="B88" s="109" t="s">
        <v>216</v>
      </c>
      <c r="C88" s="109"/>
      <c r="D88" s="109"/>
      <c r="E88" s="109"/>
      <c r="F88" s="109"/>
      <c r="G88" s="109"/>
      <c r="H88" s="109"/>
    </row>
    <row r="89" spans="2:8" ht="15" customHeight="1" x14ac:dyDescent="0.35">
      <c r="B89" s="109"/>
      <c r="C89" s="109"/>
      <c r="D89" s="109"/>
      <c r="E89" s="109"/>
      <c r="F89" s="109"/>
      <c r="G89" s="109"/>
      <c r="H89" s="109"/>
    </row>
    <row r="90" spans="2:8" ht="15" customHeight="1" x14ac:dyDescent="0.35">
      <c r="B90" s="109"/>
      <c r="C90" s="109"/>
      <c r="D90" s="109"/>
      <c r="E90" s="109"/>
      <c r="F90" s="109"/>
      <c r="G90" s="109"/>
      <c r="H90" s="109"/>
    </row>
    <row r="91" spans="2:8" ht="15" customHeight="1" x14ac:dyDescent="0.35">
      <c r="B91" s="109"/>
      <c r="C91" s="109"/>
      <c r="D91" s="109"/>
      <c r="E91" s="109"/>
      <c r="F91" s="109"/>
      <c r="G91" s="109"/>
      <c r="H91" s="109"/>
    </row>
    <row r="92" spans="2:8" ht="15" customHeight="1" x14ac:dyDescent="0.35">
      <c r="B92" s="109"/>
      <c r="C92" s="109"/>
      <c r="D92" s="109"/>
      <c r="E92" s="109"/>
      <c r="F92" s="109"/>
      <c r="G92" s="109"/>
      <c r="H92" s="109"/>
    </row>
    <row r="94" spans="2:8" ht="21.75" customHeight="1" x14ac:dyDescent="0.35">
      <c r="B94" s="62" t="s">
        <v>217</v>
      </c>
      <c r="C94" s="63" t="s">
        <v>218</v>
      </c>
      <c r="D94" s="64" t="s">
        <v>219</v>
      </c>
      <c r="E94" s="65" t="s">
        <v>220</v>
      </c>
    </row>
  </sheetData>
  <mergeCells count="25">
    <mergeCell ref="B1:H1"/>
    <mergeCell ref="B2:H2"/>
    <mergeCell ref="B4:H4"/>
    <mergeCell ref="B14:H14"/>
    <mergeCell ref="B24:H24"/>
    <mergeCell ref="B76:H76"/>
    <mergeCell ref="B77:E77"/>
    <mergeCell ref="F77:H77"/>
    <mergeCell ref="B78:E78"/>
    <mergeCell ref="F78:H78"/>
    <mergeCell ref="B79:E79"/>
    <mergeCell ref="F79:H79"/>
    <mergeCell ref="B80:E80"/>
    <mergeCell ref="F80:H80"/>
    <mergeCell ref="B81:E81"/>
    <mergeCell ref="F81:H81"/>
    <mergeCell ref="B85:E85"/>
    <mergeCell ref="F85:H85"/>
    <mergeCell ref="B88:H92"/>
    <mergeCell ref="B82:E82"/>
    <mergeCell ref="F82:H82"/>
    <mergeCell ref="B83:E83"/>
    <mergeCell ref="F83:H83"/>
    <mergeCell ref="B84:E84"/>
    <mergeCell ref="F84:H84"/>
  </mergeCells>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76FB-67F9-407D-80B6-5AFCA8E19BCC}">
  <dimension ref="A1:T52"/>
  <sheetViews>
    <sheetView tabSelected="1" topLeftCell="B13" workbookViewId="0">
      <selection activeCell="I23" sqref="I23"/>
    </sheetView>
  </sheetViews>
  <sheetFormatPr defaultRowHeight="14.5" x14ac:dyDescent="0.35"/>
  <cols>
    <col min="1" max="1" width="22.81640625" customWidth="1"/>
    <col min="3" max="3" width="15.7265625" customWidth="1"/>
    <col min="4" max="4" width="11.453125" customWidth="1"/>
    <col min="6" max="6" width="10.26953125" customWidth="1"/>
    <col min="7" max="7" width="24" customWidth="1"/>
    <col min="8" max="8" width="17.54296875" customWidth="1"/>
    <col min="10" max="10" width="11.1796875" customWidth="1"/>
    <col min="11" max="11" width="9.36328125" bestFit="1" customWidth="1"/>
    <col min="14" max="14" width="13.1796875" customWidth="1"/>
    <col min="15" max="15" width="20.36328125" customWidth="1"/>
    <col min="16" max="16" width="23.26953125" customWidth="1"/>
  </cols>
  <sheetData>
    <row r="1" spans="1:20" x14ac:dyDescent="0.35">
      <c r="A1" t="s">
        <v>19</v>
      </c>
      <c r="B1" t="s">
        <v>20</v>
      </c>
      <c r="C1" t="s">
        <v>225</v>
      </c>
      <c r="D1" t="s">
        <v>221</v>
      </c>
      <c r="F1" t="s">
        <v>231</v>
      </c>
      <c r="G1" t="s">
        <v>229</v>
      </c>
      <c r="H1" t="s">
        <v>230</v>
      </c>
      <c r="T1">
        <f>(G2*'Prediction of Final Term '!C16 + 'Prediction of Final Term '!H3*'Prediction of Final Term '!C17 + 'Prediction of Final Term '!H4*'Prediction of Final Term '!C18 +'Prediction of Final Term '!H5*'Prediction of Final Term '!C19 +'Prediction of Final Term '!H6*'Prediction of Final Term '!C20)/100</f>
        <v>2.4639960784313728</v>
      </c>
    </row>
    <row r="2" spans="1:20" x14ac:dyDescent="0.35">
      <c r="A2" t="s">
        <v>76</v>
      </c>
      <c r="B2" t="s">
        <v>161</v>
      </c>
      <c r="C2">
        <v>87.08</v>
      </c>
      <c r="D2" t="s">
        <v>192</v>
      </c>
      <c r="F2" t="s">
        <v>192</v>
      </c>
      <c r="G2">
        <f>COUNTIF(D:D, "A")</f>
        <v>4</v>
      </c>
      <c r="H2" s="66">
        <f>COUNTIF(D:D, "A") / (COUNTA(A:A) - 1)</f>
        <v>7.8431372549019607E-2</v>
      </c>
      <c r="K2" s="66"/>
      <c r="L2" s="66"/>
      <c r="M2" s="66"/>
      <c r="N2" s="66"/>
      <c r="O2" s="66"/>
      <c r="P2" s="67"/>
    </row>
    <row r="3" spans="1:20" x14ac:dyDescent="0.35">
      <c r="A3" t="s">
        <v>65</v>
      </c>
      <c r="B3" t="s">
        <v>161</v>
      </c>
      <c r="C3">
        <v>85.42</v>
      </c>
      <c r="D3" t="s">
        <v>192</v>
      </c>
      <c r="F3" t="s">
        <v>193</v>
      </c>
      <c r="G3">
        <f>COUNTIF(D:D, "B")</f>
        <v>10</v>
      </c>
      <c r="H3" s="66">
        <f>COUNTIF(D:D, "B") / (COUNTA(A:A) - 1)</f>
        <v>0.19607843137254902</v>
      </c>
      <c r="K3" s="68"/>
      <c r="L3" s="68"/>
      <c r="M3" s="68"/>
      <c r="N3" s="68"/>
      <c r="O3" s="68"/>
    </row>
    <row r="4" spans="1:20" x14ac:dyDescent="0.35">
      <c r="A4" t="s">
        <v>72</v>
      </c>
      <c r="B4" t="s">
        <v>161</v>
      </c>
      <c r="C4">
        <v>85</v>
      </c>
      <c r="D4" t="s">
        <v>192</v>
      </c>
      <c r="F4" t="s">
        <v>194</v>
      </c>
      <c r="G4">
        <f>COUNTIF(D:D, "C")</f>
        <v>16</v>
      </c>
      <c r="H4" s="66">
        <f>COUNTIF(D:D, "C") / (COUNTA(A:A) - 1)</f>
        <v>0.31372549019607843</v>
      </c>
    </row>
    <row r="5" spans="1:20" x14ac:dyDescent="0.35">
      <c r="A5" t="s">
        <v>66</v>
      </c>
      <c r="B5" t="s">
        <v>161</v>
      </c>
      <c r="C5">
        <v>79.58</v>
      </c>
      <c r="D5" t="s">
        <v>193</v>
      </c>
      <c r="F5" t="s">
        <v>195</v>
      </c>
      <c r="G5">
        <f>COUNTIF(D:D, "D")</f>
        <v>9</v>
      </c>
      <c r="H5" s="66">
        <f>COUNTIF(D:D, "D") / (COUNTA(A:A) - 1)</f>
        <v>0.17647058823529413</v>
      </c>
    </row>
    <row r="6" spans="1:20" x14ac:dyDescent="0.35">
      <c r="A6" t="s">
        <v>73</v>
      </c>
      <c r="B6" t="s">
        <v>161</v>
      </c>
      <c r="C6">
        <v>78.75</v>
      </c>
      <c r="D6" t="s">
        <v>193</v>
      </c>
      <c r="F6" t="s">
        <v>196</v>
      </c>
      <c r="G6">
        <f>COUNTIF(D:D, "F")</f>
        <v>12</v>
      </c>
      <c r="H6" s="66">
        <f>COUNTIF(D:D, "F") / (COUNTA(A:A) - 1)</f>
        <v>0.23529411764705882</v>
      </c>
    </row>
    <row r="7" spans="1:20" x14ac:dyDescent="0.35">
      <c r="A7" t="s">
        <v>59</v>
      </c>
      <c r="B7" t="s">
        <v>161</v>
      </c>
      <c r="C7">
        <v>76.67</v>
      </c>
      <c r="D7" t="s">
        <v>193</v>
      </c>
      <c r="H7" s="67"/>
    </row>
    <row r="8" spans="1:20" x14ac:dyDescent="0.35">
      <c r="A8" t="s">
        <v>64</v>
      </c>
      <c r="B8" t="s">
        <v>161</v>
      </c>
      <c r="C8">
        <v>70</v>
      </c>
      <c r="D8" t="s">
        <v>193</v>
      </c>
      <c r="N8" t="s">
        <v>237</v>
      </c>
      <c r="O8" t="s">
        <v>238</v>
      </c>
      <c r="P8" t="s">
        <v>239</v>
      </c>
    </row>
    <row r="9" spans="1:20" x14ac:dyDescent="0.35">
      <c r="A9" t="s">
        <v>70</v>
      </c>
      <c r="B9" t="s">
        <v>161</v>
      </c>
      <c r="C9">
        <v>69.58</v>
      </c>
      <c r="D9" t="s">
        <v>194</v>
      </c>
      <c r="N9" t="s">
        <v>192</v>
      </c>
      <c r="O9">
        <v>5</v>
      </c>
      <c r="P9">
        <v>3</v>
      </c>
    </row>
    <row r="10" spans="1:20" x14ac:dyDescent="0.35">
      <c r="A10" t="s">
        <v>69</v>
      </c>
      <c r="B10" t="s">
        <v>161</v>
      </c>
      <c r="C10">
        <v>67.5</v>
      </c>
      <c r="D10" t="s">
        <v>194</v>
      </c>
      <c r="N10" s="73" t="s">
        <v>193</v>
      </c>
      <c r="O10">
        <v>20</v>
      </c>
      <c r="P10">
        <v>10</v>
      </c>
    </row>
    <row r="11" spans="1:20" x14ac:dyDescent="0.35">
      <c r="A11" t="s">
        <v>68</v>
      </c>
      <c r="B11" t="s">
        <v>161</v>
      </c>
      <c r="C11">
        <v>64.58</v>
      </c>
      <c r="D11" t="s">
        <v>194</v>
      </c>
      <c r="N11" t="s">
        <v>194</v>
      </c>
      <c r="O11">
        <v>32</v>
      </c>
      <c r="P11">
        <v>16</v>
      </c>
    </row>
    <row r="12" spans="1:20" x14ac:dyDescent="0.35">
      <c r="A12" t="s">
        <v>63</v>
      </c>
      <c r="B12" t="s">
        <v>161</v>
      </c>
      <c r="C12">
        <v>64.17</v>
      </c>
      <c r="D12" t="s">
        <v>194</v>
      </c>
      <c r="N12" t="s">
        <v>195</v>
      </c>
      <c r="O12">
        <v>27</v>
      </c>
      <c r="P12">
        <v>14</v>
      </c>
    </row>
    <row r="13" spans="1:20" x14ac:dyDescent="0.35">
      <c r="A13" t="s">
        <v>62</v>
      </c>
      <c r="B13" t="s">
        <v>161</v>
      </c>
      <c r="C13">
        <v>63.33</v>
      </c>
      <c r="D13" t="s">
        <v>194</v>
      </c>
      <c r="N13" t="s">
        <v>196</v>
      </c>
      <c r="O13">
        <v>15</v>
      </c>
      <c r="P13">
        <v>8</v>
      </c>
    </row>
    <row r="14" spans="1:20" x14ac:dyDescent="0.35">
      <c r="A14" t="s">
        <v>61</v>
      </c>
      <c r="B14" t="s">
        <v>161</v>
      </c>
      <c r="C14">
        <v>55.42</v>
      </c>
      <c r="D14" t="s">
        <v>195</v>
      </c>
    </row>
    <row r="15" spans="1:20" x14ac:dyDescent="0.35">
      <c r="A15" t="s">
        <v>75</v>
      </c>
      <c r="B15" t="s">
        <v>161</v>
      </c>
      <c r="C15">
        <v>53.75</v>
      </c>
      <c r="D15" t="s">
        <v>195</v>
      </c>
    </row>
    <row r="16" spans="1:20" x14ac:dyDescent="0.35">
      <c r="A16" t="s">
        <v>67</v>
      </c>
      <c r="B16" t="s">
        <v>161</v>
      </c>
      <c r="C16">
        <v>52.08</v>
      </c>
      <c r="D16" t="s">
        <v>195</v>
      </c>
    </row>
    <row r="17" spans="1:8" x14ac:dyDescent="0.35">
      <c r="A17" t="s">
        <v>71</v>
      </c>
      <c r="B17" t="s">
        <v>161</v>
      </c>
      <c r="C17">
        <v>48.75</v>
      </c>
      <c r="D17" t="s">
        <v>196</v>
      </c>
    </row>
    <row r="18" spans="1:8" x14ac:dyDescent="0.35">
      <c r="A18" t="s">
        <v>74</v>
      </c>
      <c r="B18" t="s">
        <v>161</v>
      </c>
      <c r="C18">
        <v>47.08</v>
      </c>
      <c r="D18" t="s">
        <v>196</v>
      </c>
    </row>
    <row r="19" spans="1:8" x14ac:dyDescent="0.35">
      <c r="A19" t="s">
        <v>77</v>
      </c>
      <c r="B19" t="s">
        <v>161</v>
      </c>
      <c r="C19">
        <v>42.92</v>
      </c>
      <c r="D19" t="s">
        <v>196</v>
      </c>
    </row>
    <row r="20" spans="1:8" x14ac:dyDescent="0.35">
      <c r="A20" t="s">
        <v>78</v>
      </c>
      <c r="B20" t="s">
        <v>161</v>
      </c>
      <c r="C20">
        <v>26.25</v>
      </c>
      <c r="D20" t="s">
        <v>196</v>
      </c>
    </row>
    <row r="21" spans="1:8" ht="28.5" thickBot="1" x14ac:dyDescent="0.4">
      <c r="A21" t="s">
        <v>226</v>
      </c>
      <c r="B21" t="s">
        <v>161</v>
      </c>
      <c r="C21">
        <v>4.5</v>
      </c>
      <c r="D21" t="s">
        <v>196</v>
      </c>
      <c r="F21" s="139" t="s">
        <v>20</v>
      </c>
      <c r="G21" s="140" t="s">
        <v>241</v>
      </c>
      <c r="H21" s="143" t="s">
        <v>243</v>
      </c>
    </row>
    <row r="22" spans="1:8" ht="15" thickBot="1" x14ac:dyDescent="0.4">
      <c r="A22" t="s">
        <v>224</v>
      </c>
      <c r="B22" t="s">
        <v>161</v>
      </c>
      <c r="C22">
        <v>0</v>
      </c>
      <c r="D22" t="s">
        <v>196</v>
      </c>
      <c r="F22" s="137" t="s">
        <v>192</v>
      </c>
      <c r="G22" s="138">
        <v>4</v>
      </c>
      <c r="H22">
        <v>3</v>
      </c>
    </row>
    <row r="23" spans="1:8" ht="15" thickBot="1" x14ac:dyDescent="0.4">
      <c r="A23" t="s">
        <v>38</v>
      </c>
      <c r="B23" t="s">
        <v>162</v>
      </c>
      <c r="C23">
        <v>73.88</v>
      </c>
      <c r="D23" t="s">
        <v>193</v>
      </c>
      <c r="F23" s="137" t="s">
        <v>193</v>
      </c>
      <c r="G23" s="138">
        <v>13</v>
      </c>
      <c r="H23">
        <v>10</v>
      </c>
    </row>
    <row r="24" spans="1:8" ht="15" thickBot="1" x14ac:dyDescent="0.4">
      <c r="A24" t="s">
        <v>29</v>
      </c>
      <c r="B24" t="s">
        <v>162</v>
      </c>
      <c r="C24">
        <v>72.239999999999995</v>
      </c>
      <c r="D24" t="s">
        <v>193</v>
      </c>
      <c r="F24" s="137" t="s">
        <v>194</v>
      </c>
      <c r="G24" s="138">
        <v>9</v>
      </c>
      <c r="H24">
        <v>16</v>
      </c>
    </row>
    <row r="25" spans="1:8" ht="15" thickBot="1" x14ac:dyDescent="0.4">
      <c r="A25" t="s">
        <v>27</v>
      </c>
      <c r="B25" t="s">
        <v>162</v>
      </c>
      <c r="C25">
        <v>68.569999999999993</v>
      </c>
      <c r="D25" t="s">
        <v>194</v>
      </c>
      <c r="F25" s="137" t="s">
        <v>195</v>
      </c>
      <c r="G25" s="138">
        <v>10</v>
      </c>
      <c r="H25">
        <v>14</v>
      </c>
    </row>
    <row r="26" spans="1:8" ht="15" thickBot="1" x14ac:dyDescent="0.4">
      <c r="A26" t="s">
        <v>34</v>
      </c>
      <c r="B26" t="s">
        <v>162</v>
      </c>
      <c r="C26">
        <v>67.760000000000005</v>
      </c>
      <c r="D26" t="s">
        <v>194</v>
      </c>
      <c r="F26" s="141" t="s">
        <v>196</v>
      </c>
      <c r="G26" s="142">
        <v>12</v>
      </c>
      <c r="H26">
        <v>8</v>
      </c>
    </row>
    <row r="27" spans="1:8" ht="15" thickBot="1" x14ac:dyDescent="0.4">
      <c r="A27" t="s">
        <v>33</v>
      </c>
      <c r="B27" t="s">
        <v>162</v>
      </c>
      <c r="C27">
        <v>65.709999999999994</v>
      </c>
      <c r="D27" t="s">
        <v>194</v>
      </c>
      <c r="F27" s="136" t="s">
        <v>242</v>
      </c>
      <c r="G27" s="136">
        <v>48</v>
      </c>
    </row>
    <row r="28" spans="1:8" x14ac:dyDescent="0.35">
      <c r="A28" t="s">
        <v>36</v>
      </c>
      <c r="B28" t="s">
        <v>162</v>
      </c>
      <c r="C28">
        <v>65.31</v>
      </c>
      <c r="D28" t="s">
        <v>194</v>
      </c>
    </row>
    <row r="29" spans="1:8" x14ac:dyDescent="0.35">
      <c r="A29" t="s">
        <v>43</v>
      </c>
      <c r="B29" t="s">
        <v>162</v>
      </c>
      <c r="C29">
        <v>63.67</v>
      </c>
      <c r="D29" t="s">
        <v>194</v>
      </c>
    </row>
    <row r="30" spans="1:8" x14ac:dyDescent="0.35">
      <c r="A30" t="s">
        <v>35</v>
      </c>
      <c r="B30" t="s">
        <v>162</v>
      </c>
      <c r="C30">
        <v>63.27</v>
      </c>
      <c r="D30" t="s">
        <v>194</v>
      </c>
    </row>
    <row r="31" spans="1:8" x14ac:dyDescent="0.35">
      <c r="A31" t="s">
        <v>41</v>
      </c>
      <c r="B31" t="s">
        <v>162</v>
      </c>
      <c r="C31">
        <v>62.04</v>
      </c>
      <c r="D31" t="s">
        <v>194</v>
      </c>
    </row>
    <row r="32" spans="1:8" x14ac:dyDescent="0.35">
      <c r="A32" t="s">
        <v>37</v>
      </c>
      <c r="B32" t="s">
        <v>162</v>
      </c>
      <c r="C32">
        <v>60</v>
      </c>
      <c r="D32" t="s">
        <v>194</v>
      </c>
    </row>
    <row r="33" spans="1:4" x14ac:dyDescent="0.35">
      <c r="A33" t="s">
        <v>40</v>
      </c>
      <c r="B33" t="s">
        <v>162</v>
      </c>
      <c r="C33">
        <v>59.59</v>
      </c>
      <c r="D33" t="s">
        <v>195</v>
      </c>
    </row>
    <row r="34" spans="1:4" x14ac:dyDescent="0.35">
      <c r="A34" t="s">
        <v>31</v>
      </c>
      <c r="B34" t="s">
        <v>162</v>
      </c>
      <c r="C34">
        <v>54.29</v>
      </c>
      <c r="D34" t="s">
        <v>195</v>
      </c>
    </row>
    <row r="35" spans="1:4" x14ac:dyDescent="0.35">
      <c r="A35" t="s">
        <v>223</v>
      </c>
      <c r="B35" t="s">
        <v>162</v>
      </c>
      <c r="C35">
        <v>53.47</v>
      </c>
      <c r="D35" t="s">
        <v>195</v>
      </c>
    </row>
    <row r="36" spans="1:4" x14ac:dyDescent="0.35">
      <c r="A36" t="s">
        <v>32</v>
      </c>
      <c r="B36" t="s">
        <v>162</v>
      </c>
      <c r="C36">
        <v>45.71</v>
      </c>
      <c r="D36" t="s">
        <v>196</v>
      </c>
    </row>
    <row r="37" spans="1:4" x14ac:dyDescent="0.35">
      <c r="A37" t="s">
        <v>42</v>
      </c>
      <c r="B37" t="s">
        <v>162</v>
      </c>
      <c r="C37">
        <v>41.63</v>
      </c>
      <c r="D37" t="s">
        <v>196</v>
      </c>
    </row>
    <row r="38" spans="1:4" x14ac:dyDescent="0.35">
      <c r="A38" t="s">
        <v>227</v>
      </c>
      <c r="B38" t="s">
        <v>162</v>
      </c>
      <c r="C38">
        <v>2.4500000000000002</v>
      </c>
      <c r="D38" t="s">
        <v>196</v>
      </c>
    </row>
    <row r="39" spans="1:4" x14ac:dyDescent="0.35">
      <c r="A39" t="s">
        <v>49</v>
      </c>
      <c r="B39" t="s">
        <v>222</v>
      </c>
      <c r="C39">
        <v>80.38</v>
      </c>
      <c r="D39" t="s">
        <v>192</v>
      </c>
    </row>
    <row r="40" spans="1:4" x14ac:dyDescent="0.35">
      <c r="A40" t="s">
        <v>51</v>
      </c>
      <c r="B40" t="s">
        <v>222</v>
      </c>
      <c r="C40">
        <v>78.489999999999995</v>
      </c>
      <c r="D40" t="s">
        <v>193</v>
      </c>
    </row>
    <row r="41" spans="1:4" x14ac:dyDescent="0.35">
      <c r="A41" t="s">
        <v>228</v>
      </c>
      <c r="B41" t="s">
        <v>222</v>
      </c>
      <c r="C41">
        <v>77.36</v>
      </c>
      <c r="D41" t="s">
        <v>193</v>
      </c>
    </row>
    <row r="42" spans="1:4" x14ac:dyDescent="0.35">
      <c r="A42" t="s">
        <v>46</v>
      </c>
      <c r="B42" t="s">
        <v>222</v>
      </c>
      <c r="C42">
        <v>76.599999999999994</v>
      </c>
      <c r="D42" t="s">
        <v>193</v>
      </c>
    </row>
    <row r="43" spans="1:4" x14ac:dyDescent="0.35">
      <c r="A43" t="s">
        <v>54</v>
      </c>
      <c r="B43" t="s">
        <v>222</v>
      </c>
      <c r="C43">
        <v>73.58</v>
      </c>
      <c r="D43" t="s">
        <v>193</v>
      </c>
    </row>
    <row r="44" spans="1:4" x14ac:dyDescent="0.35">
      <c r="A44" t="s">
        <v>56</v>
      </c>
      <c r="B44" t="s">
        <v>222</v>
      </c>
      <c r="C44">
        <v>67.55</v>
      </c>
      <c r="D44" t="s">
        <v>194</v>
      </c>
    </row>
    <row r="45" spans="1:4" x14ac:dyDescent="0.35">
      <c r="A45" t="s">
        <v>44</v>
      </c>
      <c r="B45" t="s">
        <v>222</v>
      </c>
      <c r="C45">
        <v>66.040000000000006</v>
      </c>
      <c r="D45" t="s">
        <v>194</v>
      </c>
    </row>
    <row r="46" spans="1:4" x14ac:dyDescent="0.35">
      <c r="A46" t="s">
        <v>55</v>
      </c>
      <c r="B46" t="s">
        <v>222</v>
      </c>
      <c r="C46">
        <v>63.77</v>
      </c>
      <c r="D46" t="s">
        <v>194</v>
      </c>
    </row>
    <row r="47" spans="1:4" x14ac:dyDescent="0.35">
      <c r="A47" t="s">
        <v>48</v>
      </c>
      <c r="B47" t="s">
        <v>222</v>
      </c>
      <c r="C47">
        <v>57.36</v>
      </c>
      <c r="D47" t="s">
        <v>195</v>
      </c>
    </row>
    <row r="48" spans="1:4" x14ac:dyDescent="0.35">
      <c r="A48" t="s">
        <v>47</v>
      </c>
      <c r="B48" t="s">
        <v>222</v>
      </c>
      <c r="C48">
        <v>55.09</v>
      </c>
      <c r="D48" t="s">
        <v>195</v>
      </c>
    </row>
    <row r="49" spans="1:4" x14ac:dyDescent="0.35">
      <c r="A49" t="s">
        <v>53</v>
      </c>
      <c r="B49" t="s">
        <v>222</v>
      </c>
      <c r="C49">
        <v>52.08</v>
      </c>
      <c r="D49" t="s">
        <v>195</v>
      </c>
    </row>
    <row r="50" spans="1:4" x14ac:dyDescent="0.35">
      <c r="A50" t="s">
        <v>52</v>
      </c>
      <c r="B50" t="s">
        <v>222</v>
      </c>
      <c r="C50">
        <v>49.43</v>
      </c>
      <c r="D50" t="s">
        <v>196</v>
      </c>
    </row>
    <row r="51" spans="1:4" x14ac:dyDescent="0.35">
      <c r="A51" t="s">
        <v>58</v>
      </c>
      <c r="B51" t="s">
        <v>222</v>
      </c>
      <c r="C51">
        <v>46.42</v>
      </c>
      <c r="D51" t="s">
        <v>196</v>
      </c>
    </row>
    <row r="52" spans="1:4" x14ac:dyDescent="0.35">
      <c r="A52" t="s">
        <v>50</v>
      </c>
      <c r="B52" t="s">
        <v>222</v>
      </c>
      <c r="C52">
        <v>42.26</v>
      </c>
      <c r="D52" t="s">
        <v>196</v>
      </c>
    </row>
  </sheetData>
  <pageMargins left="0.7" right="0.7" top="0.75" bottom="0.75" header="0.3" footer="0.3"/>
  <drawing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Key Insights</vt:lpstr>
      <vt:lpstr>Raw Data</vt:lpstr>
      <vt:lpstr>Group Analysis</vt:lpstr>
      <vt:lpstr>Top &amp; Bottom</vt:lpstr>
      <vt:lpstr>Chart Data</vt:lpstr>
      <vt:lpstr>Term vs Class Test</vt:lpstr>
      <vt:lpstr>Subject Performance</vt:lpstr>
      <vt:lpstr>Teacher Analysis</vt:lpstr>
      <vt:lpstr>Transition Matrix</vt:lpstr>
      <vt:lpstr>Prediction of Final Term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Umar Aslam</cp:lastModifiedBy>
  <cp:revision>0</cp:revision>
  <dcterms:created xsi:type="dcterms:W3CDTF">2026-04-13T11:46:02Z</dcterms:created>
  <dcterms:modified xsi:type="dcterms:W3CDTF">2026-05-07T09:21:24Z</dcterms:modified>
  <dc:language>en-US</dc:language>
</cp:coreProperties>
</file>